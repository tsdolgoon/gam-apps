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guun\GAM apps\"/>
    </mc:Choice>
  </mc:AlternateContent>
  <xr:revisionPtr revIDLastSave="0" documentId="8_{2A7942EC-6FF4-4D8B-8B27-FAD392B0B6EB}" xr6:coauthVersionLast="47" xr6:coauthVersionMax="47" xr10:uidLastSave="{00000000-0000-0000-0000-000000000000}"/>
  <bookViews>
    <workbookView xWindow="-120" yWindow="-120" windowWidth="29040" windowHeight="15720" xr2:uid="{F3D1C6DC-35B1-4008-B4F7-E4135C808794}"/>
  </bookViews>
  <sheets>
    <sheet name="Fund Overview" sheetId="4" r:id="rId1"/>
    <sheet name="NAV History Log" sheetId="3" r:id="rId2"/>
    <sheet name="Asset Classes" sheetId="2" r:id="rId3"/>
    <sheet name="Change Log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3" l="1"/>
  <c r="E4" i="3"/>
  <c r="A4" i="3"/>
  <c r="I3" i="3"/>
  <c r="E3" i="3"/>
  <c r="A3" i="3"/>
  <c r="I2" i="3"/>
  <c r="E2" i="3"/>
  <c r="A2" i="3"/>
  <c r="F10" i="4"/>
  <c r="C10" i="4"/>
  <c r="C2" i="4"/>
</calcChain>
</file>

<file path=xl/sharedStrings.xml><?xml version="1.0" encoding="utf-8"?>
<sst xmlns="http://schemas.openxmlformats.org/spreadsheetml/2006/main" count="115" uniqueCount="78">
  <si>
    <t>GAM FUNDS - CONFIGURATION REGISTER</t>
  </si>
  <si>
    <t>Last Updated:</t>
  </si>
  <si>
    <t>STABLE GROWTH FUND (SGF)</t>
  </si>
  <si>
    <t>URBAN SKY FUND (USF)</t>
  </si>
  <si>
    <t>Fund Full Name</t>
  </si>
  <si>
    <t>Stable Growth Fund</t>
  </si>
  <si>
    <t>Urban Sky Fund</t>
  </si>
  <si>
    <t>Fund Code</t>
  </si>
  <si>
    <t>SGF</t>
  </si>
  <si>
    <t>USF</t>
  </si>
  <si>
    <t>Currency</t>
  </si>
  <si>
    <t>MNT</t>
  </si>
  <si>
    <t>Unit Price (MNT)</t>
  </si>
  <si>
    <t>Total Authorized Units</t>
  </si>
  <si>
    <t>FRC Raise Limit (MNT)</t>
  </si>
  <si>
    <t>Investment Universe</t>
  </si>
  <si>
    <t>Listed Equities, Gov/Corp Bonds, ETFs</t>
  </si>
  <si>
    <t>Real Estate, SPV Preferred Shares, Proj Bonds</t>
  </si>
  <si>
    <t>Fund Status</t>
  </si>
  <si>
    <t>Active</t>
  </si>
  <si>
    <t>Valuation Frequency</t>
  </si>
  <si>
    <t>Daily</t>
  </si>
  <si>
    <t>Monthly</t>
  </si>
  <si>
    <t>FRC Approval Date</t>
  </si>
  <si>
    <t>Management Fee (%)</t>
  </si>
  <si>
    <t>Performance Fee (%)</t>
  </si>
  <si>
    <t>Subscription Min (MNT)</t>
  </si>
  <si>
    <t>Redemption Notice (days)</t>
  </si>
  <si>
    <t>Fund Manager</t>
  </si>
  <si>
    <t>NOTE:</t>
  </si>
  <si>
    <t>Blue = hardcoded inputs. Update only on FRC/Board approval. Record all changes in Change Log tab.</t>
  </si>
  <si>
    <t>Date</t>
  </si>
  <si>
    <t>SGF NAV/Unit (MNT)</t>
  </si>
  <si>
    <t>SGF Total AUM (MNT)</t>
  </si>
  <si>
    <t>SGF Outstanding Units</t>
  </si>
  <si>
    <t>SGF FRC Util %</t>
  </si>
  <si>
    <t>USF NAV/Unit (MNT)</t>
  </si>
  <si>
    <t>USF Total AUM (MNT)</t>
  </si>
  <si>
    <t>USF Outstanding Units</t>
  </si>
  <si>
    <t>USF FRC Util %</t>
  </si>
  <si>
    <t>FRC Utilization = Total AUM / FRC Raise Limit. Must not exceed 100%.</t>
  </si>
  <si>
    <t>Asset Class</t>
  </si>
  <si>
    <t>SGF Eligible</t>
  </si>
  <si>
    <t>USF Eligible</t>
  </si>
  <si>
    <t>Typical Weight Range</t>
  </si>
  <si>
    <t>Notes</t>
  </si>
  <si>
    <t>Listed Equities</t>
  </si>
  <si>
    <t>YES</t>
  </si>
  <si>
    <t>NO</t>
  </si>
  <si>
    <t>0-60%</t>
  </si>
  <si>
    <t>Mongolian Stock Exchange listed</t>
  </si>
  <si>
    <t>Government Bonds</t>
  </si>
  <si>
    <t>10-80%</t>
  </si>
  <si>
    <t>MNT or USD denominated</t>
  </si>
  <si>
    <t>Corporate Bonds</t>
  </si>
  <si>
    <t>0-40%</t>
  </si>
  <si>
    <t>Investment grade preferred</t>
  </si>
  <si>
    <t>ETF Units</t>
  </si>
  <si>
    <t>0-20%</t>
  </si>
  <si>
    <t>Regional or global ETFs</t>
  </si>
  <si>
    <t>Fund Units</t>
  </si>
  <si>
    <t>Other licensed fund units</t>
  </si>
  <si>
    <t>Real Estate Projects</t>
  </si>
  <si>
    <t>30-80%</t>
  </si>
  <si>
    <t>Direct project investment</t>
  </si>
  <si>
    <t>SPV Preferred Shares</t>
  </si>
  <si>
    <t>0-50%</t>
  </si>
  <si>
    <t>Special Purpose Vehicles</t>
  </si>
  <si>
    <t>Project Bonds</t>
  </si>
  <si>
    <t>Issued by real estate projects</t>
  </si>
  <si>
    <t>Cash &amp; Equivalents</t>
  </si>
  <si>
    <t>Liquidity buffer - both funds</t>
  </si>
  <si>
    <t>Changed By</t>
  </si>
  <si>
    <t>Field Modified</t>
  </si>
  <si>
    <t>Old Value</t>
  </si>
  <si>
    <t>New Value</t>
  </si>
  <si>
    <t>FRC / Board Resolution Reference</t>
  </si>
  <si>
    <t>Record all fund parameter changes here for FRC audit trail. Reference Board resolution or FRC correspondence number in last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</si>
</sst>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1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0046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164" fontId="4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0" fillId="5" borderId="1" xfId="0" applyFill="1" applyBorder="1"/>
    <xf numFmtId="0" fontId="3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1" xfId="0" applyBorder="1"/>
    <xf numFmtId="3" fontId="6" fillId="0" borderId="1" xfId="0" applyNumberFormat="1" applyFont="1" applyBorder="1"/>
    <xf numFmtId="3" fontId="6" fillId="5" borderId="1" xfId="0" applyNumberFormat="1" applyFont="1" applyFill="1" applyBorder="1"/>
    <xf numFmtId="0" fontId="3" fillId="6" borderId="1" xfId="0" applyFont="1" applyFill="1" applyBorder="1" applyAlignment="1">
      <alignment horizontal="left"/>
    </xf>
    <xf numFmtId="3" fontId="4" fillId="6" borderId="1" xfId="0" applyNumberFormat="1" applyFont="1" applyFill="1" applyBorder="1"/>
    <xf numFmtId="0" fontId="0" fillId="6" borderId="1" xfId="0" applyFill="1" applyBorder="1"/>
    <xf numFmtId="0" fontId="7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8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9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1D3F-CA6C-4952-AA7F-B6F9F23A0939}">
  <sheetPr>
    <tabColor rgb="FF1F497D"/>
  </sheetPr>
  <dimension ref="B1:G22"/>
  <sheetViews>
    <sheetView tabSelected="1" workbookViewId="0"/>
  </sheetViews>
  <sheetFormatPr defaultRowHeight="15" x14ac:dyDescent="0.25"/>
  <cols>
    <col min="1" max="1" width="2.7109375" customWidth="1"/>
    <col min="2" max="2" width="26.7109375" customWidth="1"/>
    <col min="3" max="3" width="40.7109375" customWidth="1"/>
    <col min="4" max="4" width="2.7109375" customWidth="1"/>
    <col min="5" max="5" width="26.7109375" customWidth="1"/>
    <col min="6" max="6" width="40.7109375" customWidth="1"/>
    <col min="7" max="7" width="2.7109375" customWidth="1"/>
  </cols>
  <sheetData>
    <row r="1" spans="2:7" ht="32.1" customHeight="1" x14ac:dyDescent="0.25">
      <c r="B1" s="1" t="s">
        <v>0</v>
      </c>
      <c r="C1" s="2"/>
      <c r="D1" s="2"/>
      <c r="E1" s="2"/>
      <c r="F1" s="2"/>
      <c r="G1" s="2"/>
    </row>
    <row r="2" spans="2:7" x14ac:dyDescent="0.25">
      <c r="B2" s="3" t="s">
        <v>1</v>
      </c>
      <c r="C2" s="4">
        <f ca="1">TODAY()</f>
        <v>46160</v>
      </c>
    </row>
    <row r="3" spans="2:7" ht="9.9499999999999993" customHeight="1" x14ac:dyDescent="0.25"/>
    <row r="4" spans="2:7" ht="26.1" customHeight="1" x14ac:dyDescent="0.25">
      <c r="B4" s="5" t="s">
        <v>2</v>
      </c>
      <c r="C4" s="6"/>
      <c r="D4" s="6"/>
      <c r="E4" s="7" t="s">
        <v>3</v>
      </c>
      <c r="F4" s="6"/>
      <c r="G4" s="6"/>
    </row>
    <row r="5" spans="2:7" x14ac:dyDescent="0.25">
      <c r="B5" s="8" t="s">
        <v>4</v>
      </c>
      <c r="C5" s="9" t="s">
        <v>5</v>
      </c>
      <c r="D5" s="10"/>
      <c r="E5" s="8" t="s">
        <v>4</v>
      </c>
      <c r="F5" s="9" t="s">
        <v>6</v>
      </c>
      <c r="G5" s="10"/>
    </row>
    <row r="6" spans="2:7" x14ac:dyDescent="0.25">
      <c r="B6" s="11" t="s">
        <v>7</v>
      </c>
      <c r="C6" s="12" t="s">
        <v>8</v>
      </c>
      <c r="D6" s="13"/>
      <c r="E6" s="11" t="s">
        <v>7</v>
      </c>
      <c r="F6" s="12" t="s">
        <v>9</v>
      </c>
      <c r="G6" s="13"/>
    </row>
    <row r="7" spans="2:7" x14ac:dyDescent="0.25">
      <c r="B7" s="8" t="s">
        <v>10</v>
      </c>
      <c r="C7" s="9" t="s">
        <v>11</v>
      </c>
      <c r="D7" s="10"/>
      <c r="E7" s="8" t="s">
        <v>10</v>
      </c>
      <c r="F7" s="9" t="s">
        <v>11</v>
      </c>
      <c r="G7" s="10"/>
    </row>
    <row r="8" spans="2:7" x14ac:dyDescent="0.25">
      <c r="B8" s="11" t="s">
        <v>12</v>
      </c>
      <c r="C8" s="14">
        <v>100</v>
      </c>
      <c r="D8" s="13"/>
      <c r="E8" s="11" t="s">
        <v>12</v>
      </c>
      <c r="F8" s="14">
        <v>1000000</v>
      </c>
      <c r="G8" s="13"/>
    </row>
    <row r="9" spans="2:7" x14ac:dyDescent="0.25">
      <c r="B9" s="8" t="s">
        <v>13</v>
      </c>
      <c r="C9" s="15">
        <v>1000000000</v>
      </c>
      <c r="D9" s="10"/>
      <c r="E9" s="8" t="s">
        <v>13</v>
      </c>
      <c r="F9" s="15">
        <v>150000</v>
      </c>
      <c r="G9" s="10"/>
    </row>
    <row r="10" spans="2:7" x14ac:dyDescent="0.25">
      <c r="B10" s="16" t="s">
        <v>14</v>
      </c>
      <c r="C10" s="17">
        <f>C9*C8</f>
        <v>100000000000</v>
      </c>
      <c r="D10" s="18"/>
      <c r="E10" s="16" t="s">
        <v>14</v>
      </c>
      <c r="F10" s="17">
        <f>F9*F8</f>
        <v>150000000000</v>
      </c>
      <c r="G10" s="18"/>
    </row>
    <row r="11" spans="2:7" x14ac:dyDescent="0.25">
      <c r="B11" s="8" t="s">
        <v>15</v>
      </c>
      <c r="C11" s="9" t="s">
        <v>16</v>
      </c>
      <c r="D11" s="10"/>
      <c r="E11" s="8" t="s">
        <v>15</v>
      </c>
      <c r="F11" s="9" t="s">
        <v>17</v>
      </c>
      <c r="G11" s="10"/>
    </row>
    <row r="12" spans="2:7" x14ac:dyDescent="0.25">
      <c r="B12" s="11" t="s">
        <v>18</v>
      </c>
      <c r="C12" s="12" t="s">
        <v>19</v>
      </c>
      <c r="D12" s="13"/>
      <c r="E12" s="11" t="s">
        <v>18</v>
      </c>
      <c r="F12" s="12" t="s">
        <v>19</v>
      </c>
      <c r="G12" s="13"/>
    </row>
    <row r="13" spans="2:7" x14ac:dyDescent="0.25">
      <c r="B13" s="8" t="s">
        <v>20</v>
      </c>
      <c r="C13" s="9" t="s">
        <v>21</v>
      </c>
      <c r="D13" s="10"/>
      <c r="E13" s="8" t="s">
        <v>20</v>
      </c>
      <c r="F13" s="9" t="s">
        <v>22</v>
      </c>
      <c r="G13" s="10"/>
    </row>
    <row r="14" spans="2:7" x14ac:dyDescent="0.25">
      <c r="B14" s="11" t="s">
        <v>23</v>
      </c>
      <c r="C14" s="13"/>
      <c r="D14" s="13"/>
      <c r="E14" s="11" t="s">
        <v>23</v>
      </c>
      <c r="F14" s="13"/>
      <c r="G14" s="13"/>
    </row>
    <row r="15" spans="2:7" x14ac:dyDescent="0.25">
      <c r="B15" s="8" t="s">
        <v>24</v>
      </c>
      <c r="C15" s="10"/>
      <c r="D15" s="10"/>
      <c r="E15" s="8" t="s">
        <v>24</v>
      </c>
      <c r="F15" s="10"/>
      <c r="G15" s="10"/>
    </row>
    <row r="16" spans="2:7" x14ac:dyDescent="0.25">
      <c r="B16" s="11" t="s">
        <v>25</v>
      </c>
      <c r="C16" s="13"/>
      <c r="D16" s="13"/>
      <c r="E16" s="11" t="s">
        <v>25</v>
      </c>
      <c r="F16" s="13"/>
      <c r="G16" s="13"/>
    </row>
    <row r="17" spans="2:7" x14ac:dyDescent="0.25">
      <c r="B17" s="8" t="s">
        <v>26</v>
      </c>
      <c r="C17" s="10"/>
      <c r="D17" s="10"/>
      <c r="E17" s="8" t="s">
        <v>26</v>
      </c>
      <c r="F17" s="10"/>
      <c r="G17" s="10"/>
    </row>
    <row r="18" spans="2:7" x14ac:dyDescent="0.25">
      <c r="B18" s="11" t="s">
        <v>27</v>
      </c>
      <c r="C18" s="13"/>
      <c r="D18" s="13"/>
      <c r="E18" s="11" t="s">
        <v>27</v>
      </c>
      <c r="F18" s="13"/>
      <c r="G18" s="13"/>
    </row>
    <row r="19" spans="2:7" x14ac:dyDescent="0.25">
      <c r="B19" s="8" t="s">
        <v>28</v>
      </c>
      <c r="C19" s="10"/>
      <c r="D19" s="10"/>
      <c r="E19" s="8" t="s">
        <v>28</v>
      </c>
      <c r="F19" s="10"/>
      <c r="G19" s="10"/>
    </row>
    <row r="22" spans="2:7" x14ac:dyDescent="0.25">
      <c r="B22" s="19" t="s">
        <v>29</v>
      </c>
      <c r="C22" s="20" t="s">
        <v>30</v>
      </c>
      <c r="D22" s="21"/>
      <c r="E22" s="21"/>
      <c r="F22" s="21"/>
      <c r="G22" s="21"/>
    </row>
  </sheetData>
  <mergeCells count="4">
    <mergeCell ref="B1:G1"/>
    <mergeCell ref="B4:D4"/>
    <mergeCell ref="E4:G4"/>
    <mergeCell ref="C22:G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6AC1-6210-471A-AB2B-B2B3541E2E38}">
  <sheetPr>
    <tabColor rgb="FF1F497D"/>
  </sheetPr>
  <dimension ref="A1:I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7109375" customWidth="1"/>
    <col min="2" max="2" width="18.7109375" customWidth="1"/>
    <col min="3" max="4" width="20.7109375" customWidth="1"/>
    <col min="5" max="5" width="14.7109375" customWidth="1"/>
    <col min="6" max="6" width="18.7109375" customWidth="1"/>
    <col min="7" max="8" width="20.7109375" customWidth="1"/>
    <col min="9" max="9" width="14.7109375" customWidth="1"/>
  </cols>
  <sheetData>
    <row r="1" spans="1:9" ht="36" customHeight="1" x14ac:dyDescent="0.25">
      <c r="A1" s="22" t="s">
        <v>31</v>
      </c>
      <c r="B1" s="22" t="s">
        <v>32</v>
      </c>
      <c r="C1" s="22" t="s">
        <v>33</v>
      </c>
      <c r="D1" s="22" t="s">
        <v>34</v>
      </c>
      <c r="E1" s="22" t="s">
        <v>35</v>
      </c>
      <c r="F1" s="22" t="s">
        <v>36</v>
      </c>
      <c r="G1" s="22" t="s">
        <v>37</v>
      </c>
      <c r="H1" s="22" t="s">
        <v>38</v>
      </c>
      <c r="I1" s="22" t="s">
        <v>39</v>
      </c>
    </row>
    <row r="2" spans="1:9" x14ac:dyDescent="0.25">
      <c r="A2" s="23">
        <f ca="1">TODAY()-2</f>
        <v>46158</v>
      </c>
      <c r="B2" s="15">
        <v>100</v>
      </c>
      <c r="C2" s="15">
        <v>100000000000</v>
      </c>
      <c r="D2" s="15">
        <v>1000000000</v>
      </c>
      <c r="E2" s="24">
        <f>C2/100000000000</f>
        <v>1</v>
      </c>
      <c r="F2" s="15">
        <v>1000000</v>
      </c>
      <c r="G2" s="15">
        <v>150000000000</v>
      </c>
      <c r="H2" s="15">
        <v>150000</v>
      </c>
      <c r="I2" s="24">
        <f>G2/150000000000</f>
        <v>1</v>
      </c>
    </row>
    <row r="3" spans="1:9" x14ac:dyDescent="0.25">
      <c r="A3" s="25">
        <f ca="1">TODAY()-1</f>
        <v>46159</v>
      </c>
      <c r="B3" s="14">
        <v>100</v>
      </c>
      <c r="C3" s="14">
        <v>100000000000</v>
      </c>
      <c r="D3" s="14">
        <v>1000000000</v>
      </c>
      <c r="E3" s="26">
        <f>C3/100000000000</f>
        <v>1</v>
      </c>
      <c r="F3" s="14">
        <v>1000000</v>
      </c>
      <c r="G3" s="14">
        <v>150000000000</v>
      </c>
      <c r="H3" s="14">
        <v>150000</v>
      </c>
      <c r="I3" s="26">
        <f>G3/150000000000</f>
        <v>1</v>
      </c>
    </row>
    <row r="4" spans="1:9" x14ac:dyDescent="0.25">
      <c r="A4" s="23">
        <f ca="1">TODAY()-0</f>
        <v>46160</v>
      </c>
      <c r="B4" s="15">
        <v>100</v>
      </c>
      <c r="C4" s="15">
        <v>100000000000</v>
      </c>
      <c r="D4" s="15">
        <v>1000000000</v>
      </c>
      <c r="E4" s="24">
        <f>C4/100000000000</f>
        <v>1</v>
      </c>
      <c r="F4" s="15">
        <v>1000000</v>
      </c>
      <c r="G4" s="15">
        <v>150000000000</v>
      </c>
      <c r="H4" s="15">
        <v>150000</v>
      </c>
      <c r="I4" s="24">
        <f>G4/150000000000</f>
        <v>1</v>
      </c>
    </row>
    <row r="6" spans="1:9" x14ac:dyDescent="0.25">
      <c r="A6" s="2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A0B6-FEFE-4606-9FBD-2BA45600302D}">
  <sheetPr>
    <tabColor rgb="FF006100"/>
  </sheetPr>
  <dimension ref="A1:E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customWidth="1"/>
    <col min="2" max="3" width="14.7109375" customWidth="1"/>
    <col min="4" max="4" width="20.7109375" customWidth="1"/>
    <col min="5" max="5" width="40.7109375" customWidth="1"/>
  </cols>
  <sheetData>
    <row r="1" spans="1:5" x14ac:dyDescent="0.25">
      <c r="A1" s="28" t="s">
        <v>41</v>
      </c>
      <c r="B1" s="28" t="s">
        <v>42</v>
      </c>
      <c r="C1" s="28" t="s">
        <v>43</v>
      </c>
      <c r="D1" s="28" t="s">
        <v>44</v>
      </c>
      <c r="E1" s="28" t="s">
        <v>45</v>
      </c>
    </row>
    <row r="2" spans="1:5" x14ac:dyDescent="0.25">
      <c r="A2" s="29" t="s">
        <v>46</v>
      </c>
      <c r="B2" s="30" t="s">
        <v>47</v>
      </c>
      <c r="C2" s="31" t="s">
        <v>48</v>
      </c>
      <c r="D2" s="32" t="s">
        <v>49</v>
      </c>
      <c r="E2" s="29" t="s">
        <v>50</v>
      </c>
    </row>
    <row r="3" spans="1:5" x14ac:dyDescent="0.25">
      <c r="A3" s="33" t="s">
        <v>51</v>
      </c>
      <c r="B3" s="30" t="s">
        <v>47</v>
      </c>
      <c r="C3" s="31" t="s">
        <v>48</v>
      </c>
      <c r="D3" s="34" t="s">
        <v>52</v>
      </c>
      <c r="E3" s="33" t="s">
        <v>53</v>
      </c>
    </row>
    <row r="4" spans="1:5" x14ac:dyDescent="0.25">
      <c r="A4" s="29" t="s">
        <v>54</v>
      </c>
      <c r="B4" s="30" t="s">
        <v>47</v>
      </c>
      <c r="C4" s="31" t="s">
        <v>48</v>
      </c>
      <c r="D4" s="32" t="s">
        <v>55</v>
      </c>
      <c r="E4" s="29" t="s">
        <v>56</v>
      </c>
    </row>
    <row r="5" spans="1:5" x14ac:dyDescent="0.25">
      <c r="A5" s="33" t="s">
        <v>57</v>
      </c>
      <c r="B5" s="30" t="s">
        <v>47</v>
      </c>
      <c r="C5" s="31" t="s">
        <v>48</v>
      </c>
      <c r="D5" s="34" t="s">
        <v>58</v>
      </c>
      <c r="E5" s="33" t="s">
        <v>59</v>
      </c>
    </row>
    <row r="6" spans="1:5" x14ac:dyDescent="0.25">
      <c r="A6" s="29" t="s">
        <v>60</v>
      </c>
      <c r="B6" s="30" t="s">
        <v>47</v>
      </c>
      <c r="C6" s="31" t="s">
        <v>48</v>
      </c>
      <c r="D6" s="32" t="s">
        <v>58</v>
      </c>
      <c r="E6" s="29" t="s">
        <v>61</v>
      </c>
    </row>
    <row r="7" spans="1:5" x14ac:dyDescent="0.25">
      <c r="A7" s="33" t="s">
        <v>62</v>
      </c>
      <c r="B7" s="31" t="s">
        <v>48</v>
      </c>
      <c r="C7" s="30" t="s">
        <v>47</v>
      </c>
      <c r="D7" s="34" t="s">
        <v>63</v>
      </c>
      <c r="E7" s="33" t="s">
        <v>64</v>
      </c>
    </row>
    <row r="8" spans="1:5" x14ac:dyDescent="0.25">
      <c r="A8" s="29" t="s">
        <v>65</v>
      </c>
      <c r="B8" s="31" t="s">
        <v>48</v>
      </c>
      <c r="C8" s="30" t="s">
        <v>47</v>
      </c>
      <c r="D8" s="32" t="s">
        <v>66</v>
      </c>
      <c r="E8" s="29" t="s">
        <v>67</v>
      </c>
    </row>
    <row r="9" spans="1:5" x14ac:dyDescent="0.25">
      <c r="A9" s="33" t="s">
        <v>68</v>
      </c>
      <c r="B9" s="31" t="s">
        <v>48</v>
      </c>
      <c r="C9" s="30" t="s">
        <v>47</v>
      </c>
      <c r="D9" s="34" t="s">
        <v>66</v>
      </c>
      <c r="E9" s="33" t="s">
        <v>69</v>
      </c>
    </row>
    <row r="10" spans="1:5" x14ac:dyDescent="0.25">
      <c r="A10" s="29" t="s">
        <v>70</v>
      </c>
      <c r="B10" s="30" t="s">
        <v>47</v>
      </c>
      <c r="C10" s="30" t="s">
        <v>47</v>
      </c>
      <c r="D10" s="32" t="s">
        <v>58</v>
      </c>
      <c r="E10" s="29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2454-C939-411F-87D5-A9B8B94B4022}">
  <sheetPr>
    <tabColor rgb="FF9C0006"/>
  </sheetPr>
  <dimension ref="A1:F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7109375" customWidth="1"/>
    <col min="2" max="2" width="20.7109375" customWidth="1"/>
    <col min="3" max="3" width="28.7109375" customWidth="1"/>
    <col min="4" max="5" width="20.7109375" customWidth="1"/>
    <col min="6" max="6" width="36.7109375" customWidth="1"/>
  </cols>
  <sheetData>
    <row r="1" spans="1:6" x14ac:dyDescent="0.25">
      <c r="A1" s="28" t="s">
        <v>31</v>
      </c>
      <c r="B1" s="28" t="s">
        <v>72</v>
      </c>
      <c r="C1" s="28" t="s">
        <v>73</v>
      </c>
      <c r="D1" s="28" t="s">
        <v>74</v>
      </c>
      <c r="E1" s="28" t="s">
        <v>75</v>
      </c>
      <c r="F1" s="28" t="s">
        <v>76</v>
      </c>
    </row>
    <row r="3" spans="1:6" x14ac:dyDescent="0.25">
      <c r="A3" s="20" t="s">
        <v>77</v>
      </c>
      <c r="B3" s="21"/>
      <c r="C3" s="21"/>
      <c r="D3" s="21"/>
      <c r="E3" s="21"/>
      <c r="F3" s="21"/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 Overview</vt:lpstr>
      <vt:lpstr>NAV History Log</vt:lpstr>
      <vt:lpstr>Asset Classes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Tsendsuren</dc:creator>
  <cp:lastModifiedBy>DULGUUN Tsendsuren</cp:lastModifiedBy>
  <dcterms:created xsi:type="dcterms:W3CDTF">2026-05-18T02:11:33Z</dcterms:created>
  <dcterms:modified xsi:type="dcterms:W3CDTF">2026-05-18T02:11:37Z</dcterms:modified>
</cp:coreProperties>
</file>