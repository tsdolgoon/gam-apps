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guun\GAM apps\"/>
    </mc:Choice>
  </mc:AlternateContent>
  <xr:revisionPtr revIDLastSave="0" documentId="13_ncr:1_{E0139581-D845-4AFB-9CB2-599FA1BE48D4}" xr6:coauthVersionLast="47" xr6:coauthVersionMax="47" xr10:uidLastSave="{00000000-0000-0000-0000-000000000000}"/>
  <bookViews>
    <workbookView xWindow="-120" yWindow="-120" windowWidth="29040" windowHeight="15720" xr2:uid="{E484E0E0-7CA2-40F0-9BC3-0029AD63B2FB}"/>
  </bookViews>
  <sheets>
    <sheet name="Client Master" sheetId="4" r:id="rId1"/>
    <sheet name="SGF Clients" sheetId="3" r:id="rId2"/>
    <sheet name="USF Clients" sheetId="2" r:id="rId3"/>
    <sheet name="Instruction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J3" i="2"/>
  <c r="I3" i="2"/>
  <c r="K2" i="2"/>
  <c r="J2" i="2"/>
  <c r="I2" i="2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<sst xmlns="http://schemas.openxmlformats.org/spreadsheetml/2006/main" count="140" uniqueCount="82">
  <si>
    <t>Client ID</t>
  </si>
  <si>
    <t>Full Name</t>
  </si>
  <si>
    <t>Client Type</t>
  </si>
  <si>
    <t>National ID / Reg No</t>
  </si>
  <si>
    <t>Date of Birth / Estab.</t>
  </si>
  <si>
    <t>Nationality</t>
  </si>
  <si>
    <t>Tax ID</t>
  </si>
  <si>
    <t>Risk Profile</t>
  </si>
  <si>
    <t>KYC Status</t>
  </si>
  <si>
    <t>KYC Date</t>
  </si>
  <si>
    <t>Investor Class</t>
  </si>
  <si>
    <t>Fund(s) Invested</t>
  </si>
  <si>
    <t>Contact Person</t>
  </si>
  <si>
    <t>Phone</t>
  </si>
  <si>
    <t>Email</t>
  </si>
  <si>
    <t>Address</t>
  </si>
  <si>
    <t>Bank Name</t>
  </si>
  <si>
    <t>Bank Account No</t>
  </si>
  <si>
    <t>Relationship Manager</t>
  </si>
  <si>
    <t>Registration Date</t>
  </si>
  <si>
    <t>Status</t>
  </si>
  <si>
    <t>CLI-001</t>
  </si>
  <si>
    <t>Bat-Erdene Gantulga</t>
  </si>
  <si>
    <t>Individual</t>
  </si>
  <si>
    <t>AA12345678</t>
  </si>
  <si>
    <t>Mongolian</t>
  </si>
  <si>
    <t>TIN-00123</t>
  </si>
  <si>
    <t>Moderate</t>
  </si>
  <si>
    <t>Approved</t>
  </si>
  <si>
    <t>Qualified Investor</t>
  </si>
  <si>
    <t>SGF, USF</t>
  </si>
  <si>
    <t>bat@example.mn</t>
  </si>
  <si>
    <t>Ulaanbaatar, Khan-Uul</t>
  </si>
  <si>
    <t>Golomt Bank</t>
  </si>
  <si>
    <t>Dulguun</t>
  </si>
  <si>
    <t>Active</t>
  </si>
  <si>
    <t>CLI-002</t>
  </si>
  <si>
    <t>Tenger Capital LLC</t>
  </si>
  <si>
    <t>Institutional</t>
  </si>
  <si>
    <t>TIN-00456</t>
  </si>
  <si>
    <t>Aggressive</t>
  </si>
  <si>
    <t>Institutional Investor</t>
  </si>
  <si>
    <t>USF</t>
  </si>
  <si>
    <t>Oyuntsetseg B.</t>
  </si>
  <si>
    <t>oyun@tengercap.mn</t>
  </si>
  <si>
    <t>Ulaanbaatar, Sukhbaatar</t>
  </si>
  <si>
    <t>Khan Bank</t>
  </si>
  <si>
    <t>CLI-003</t>
  </si>
  <si>
    <t>Enkhjargal Dorj</t>
  </si>
  <si>
    <t>BB98765432</t>
  </si>
  <si>
    <t>TIN-00789</t>
  </si>
  <si>
    <t>Conservative</t>
  </si>
  <si>
    <t>Pending</t>
  </si>
  <si>
    <t>Retail Investor</t>
  </si>
  <si>
    <t>SGF</t>
  </si>
  <si>
    <t>enkhj@example.mn</t>
  </si>
  <si>
    <t>Darkhan</t>
  </si>
  <si>
    <t>TDB Bank</t>
  </si>
  <si>
    <t>SGF Units Held</t>
  </si>
  <si>
    <t>Avg. Cost/Unit (MNT)</t>
  </si>
  <si>
    <t>Total Invested (MNT)</t>
  </si>
  <si>
    <t>Latest NAV/Unit (MNT)</t>
  </si>
  <si>
    <t>Current Value (MNT)</t>
  </si>
  <si>
    <t>Unrealized Gain/Loss (MNT)</t>
  </si>
  <si>
    <t>Return %</t>
  </si>
  <si>
    <t>Note: Link 'Latest NAV/Unit' from NAV_Calculator.xlsx when available. Black cells = formulas.</t>
  </si>
  <si>
    <t>USF Units Held</t>
  </si>
  <si>
    <t>CLIENT REGISTRY - HOW TO USE</t>
  </si>
  <si>
    <t>1. Adding a new client</t>
  </si>
  <si>
    <t>Go to 'Client Master' tab. Enter all fields in the next empty row. Assign a sequential Client ID (e.g. CLI-004).</t>
  </si>
  <si>
    <t>2. KYC &amp; Compliance</t>
  </si>
  <si>
    <t>Set KYC Status to 'Pending' until documents are verified. Only change to 'Approved' after compliance review. Note KYC Date.</t>
  </si>
  <si>
    <t>3. Fund allocation</t>
  </si>
  <si>
    <t>In 'Fund(s) Invested' column, note which fund(s) the client has subscribed to. Then update the relevant SGF Clients or USF Clients tab.</t>
  </si>
  <si>
    <t>4. SGF / USF Clients tabs</t>
  </si>
  <si>
    <t>These tabs show per-fund holdings. Update 'Units Held' and 'Avg. Cost/Unit' after each subscription or redemption. Formulas calculate current value automatically.</t>
  </si>
  <si>
    <t>5. Latest NAV/Unit</t>
  </si>
  <si>
    <t>Update the 'Latest NAV/Unit' column (column H) each valuation date from the NAV_Calculator workbook.</t>
  </si>
  <si>
    <t>6. Data Validation dropdowns</t>
  </si>
  <si>
    <t>KYC Status and Status columns have dropdown lists. Click the cell and use the dropdown arrow to select valid values.</t>
  </si>
  <si>
    <t>7. Color coding</t>
  </si>
  <si>
    <t>Blue text = data you enter. Black text = formula (do not edit). Yellow background = key assumption cell needing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</si>
</sst>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10"/>
      <color theme="1"/>
      <name val="Arial"/>
      <family val="2"/>
    </font>
    <font>
      <b/>
      <sz val="13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0046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0" fontId="1" fillId="4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3" fontId="3" fillId="3" borderId="1" xfId="0" applyNumberFormat="1" applyFont="1" applyFill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0" fontId="5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7169-5F6A-4094-99D2-EE949C228F62}">
  <sheetPr>
    <tabColor rgb="FF1F497D"/>
  </sheetPr>
  <dimension ref="A1:U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24.7109375" customWidth="1"/>
    <col min="3" max="3" width="16.7109375" customWidth="1"/>
    <col min="4" max="4" width="18.7109375" customWidth="1"/>
    <col min="5" max="5" width="16.7109375" customWidth="1"/>
    <col min="6" max="8" width="14.7109375" customWidth="1"/>
    <col min="9" max="10" width="12.7109375" customWidth="1"/>
    <col min="11" max="11" width="18.7109375" customWidth="1"/>
    <col min="12" max="12" width="14.7109375" customWidth="1"/>
    <col min="13" max="13" width="20.7109375" customWidth="1"/>
    <col min="14" max="14" width="14.7109375" customWidth="1"/>
    <col min="15" max="15" width="26.7109375" customWidth="1"/>
    <col min="16" max="16" width="30.7109375" customWidth="1"/>
    <col min="17" max="17" width="16.7109375" customWidth="1"/>
    <col min="18" max="18" width="20.7109375" customWidth="1"/>
    <col min="19" max="19" width="18.7109375" customWidth="1"/>
    <col min="20" max="20" width="14.7109375" customWidth="1"/>
    <col min="21" max="21" width="10.7109375" customWidth="1"/>
  </cols>
  <sheetData>
    <row r="1" spans="1:2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3">
        <v>31121</v>
      </c>
      <c r="F2" s="2" t="s">
        <v>25</v>
      </c>
      <c r="G2" s="2" t="s">
        <v>26</v>
      </c>
      <c r="H2" s="2" t="s">
        <v>27</v>
      </c>
      <c r="I2" s="2" t="s">
        <v>28</v>
      </c>
      <c r="J2" s="3">
        <v>45301</v>
      </c>
      <c r="K2" s="2" t="s">
        <v>29</v>
      </c>
      <c r="L2" s="2" t="s">
        <v>30</v>
      </c>
      <c r="M2" s="2" t="s">
        <v>22</v>
      </c>
      <c r="N2" s="2">
        <v>99001122</v>
      </c>
      <c r="O2" s="2" t="s">
        <v>31</v>
      </c>
      <c r="P2" s="2" t="s">
        <v>32</v>
      </c>
      <c r="Q2" s="2" t="s">
        <v>33</v>
      </c>
      <c r="R2" s="2">
        <v>100000001</v>
      </c>
      <c r="S2" s="2" t="s">
        <v>34</v>
      </c>
      <c r="T2" s="3">
        <v>45301</v>
      </c>
      <c r="U2" s="2" t="s">
        <v>35</v>
      </c>
    </row>
    <row r="3" spans="1:21" x14ac:dyDescent="0.25">
      <c r="A3" s="4" t="s">
        <v>36</v>
      </c>
      <c r="B3" s="4" t="s">
        <v>37</v>
      </c>
      <c r="C3" s="4" t="s">
        <v>38</v>
      </c>
      <c r="D3" s="4">
        <v>5000001234</v>
      </c>
      <c r="E3" s="5">
        <v>42175</v>
      </c>
      <c r="F3" s="4" t="s">
        <v>25</v>
      </c>
      <c r="G3" s="4" t="s">
        <v>39</v>
      </c>
      <c r="H3" s="4" t="s">
        <v>40</v>
      </c>
      <c r="I3" s="4" t="s">
        <v>28</v>
      </c>
      <c r="J3" s="5">
        <v>45323</v>
      </c>
      <c r="K3" s="4" t="s">
        <v>41</v>
      </c>
      <c r="L3" s="4" t="s">
        <v>42</v>
      </c>
      <c r="M3" s="4" t="s">
        <v>43</v>
      </c>
      <c r="N3" s="4">
        <v>99223344</v>
      </c>
      <c r="O3" s="4" t="s">
        <v>44</v>
      </c>
      <c r="P3" s="4" t="s">
        <v>45</v>
      </c>
      <c r="Q3" s="4" t="s">
        <v>46</v>
      </c>
      <c r="R3" s="4">
        <v>200000002</v>
      </c>
      <c r="S3" s="4" t="s">
        <v>34</v>
      </c>
      <c r="T3" s="5">
        <v>45323</v>
      </c>
      <c r="U3" s="4" t="s">
        <v>35</v>
      </c>
    </row>
    <row r="4" spans="1:21" x14ac:dyDescent="0.25">
      <c r="A4" s="2" t="s">
        <v>47</v>
      </c>
      <c r="B4" s="2" t="s">
        <v>48</v>
      </c>
      <c r="C4" s="2" t="s">
        <v>23</v>
      </c>
      <c r="D4" s="2" t="s">
        <v>49</v>
      </c>
      <c r="E4" s="3">
        <v>33913</v>
      </c>
      <c r="F4" s="2" t="s">
        <v>25</v>
      </c>
      <c r="G4" s="2" t="s">
        <v>50</v>
      </c>
      <c r="H4" s="2" t="s">
        <v>51</v>
      </c>
      <c r="I4" s="2" t="s">
        <v>52</v>
      </c>
      <c r="J4" s="2"/>
      <c r="K4" s="2" t="s">
        <v>53</v>
      </c>
      <c r="L4" s="2" t="s">
        <v>54</v>
      </c>
      <c r="M4" s="2" t="s">
        <v>48</v>
      </c>
      <c r="N4" s="2">
        <v>99445566</v>
      </c>
      <c r="O4" s="2" t="s">
        <v>55</v>
      </c>
      <c r="P4" s="2" t="s">
        <v>56</v>
      </c>
      <c r="Q4" s="2" t="s">
        <v>57</v>
      </c>
      <c r="R4" s="2">
        <v>300000003</v>
      </c>
      <c r="S4" s="2" t="s">
        <v>34</v>
      </c>
      <c r="T4" s="3">
        <v>45366</v>
      </c>
      <c r="U4" s="2" t="s">
        <v>52</v>
      </c>
    </row>
  </sheetData>
  <dataValidations count="4">
    <dataValidation type="list" allowBlank="1" showInputMessage="1" showErrorMessage="1" sqref="I2:I10000" xr:uid="{106CCC25-2486-41B3-9119-D90A045D72E6}">
      <mc:AlternateContent xmlns:x12ac="http://schemas.microsoft.com/office/spreadsheetml/2011/1/ac" xmlns:mc="http://schemas.openxmlformats.org/markup-compatibility/2006">
        <mc:Choice Requires="x12ac">
          <x12ac:list>"Approved,Pending,Expired,Rejected"</x12ac:list>
        </mc:Choice>
        <mc:Fallback>
          <formula1>"Approved,Pending,Expired,Rejected"</formula1>
        </mc:Fallback>
      </mc:AlternateContent>
    </dataValidation>
    <dataValidation type="list" allowBlank="1" showInputMessage="1" showErrorMessage="1" sqref="U2:U10000" xr:uid="{6A186817-39D7-4215-B52F-9B61AD01F048}">
      <mc:AlternateContent xmlns:x12ac="http://schemas.microsoft.com/office/spreadsheetml/2011/1/ac" xmlns:mc="http://schemas.openxmlformats.org/markup-compatibility/2006">
        <mc:Choice Requires="x12ac">
          <x12ac:list>"Active,Inactive,Suspended,Closed"</x12ac:list>
        </mc:Choice>
        <mc:Fallback>
          <formula1>"Active,Inactive,Suspended,Closed"</formula1>
        </mc:Fallback>
      </mc:AlternateContent>
    </dataValidation>
    <dataValidation type="list" allowBlank="1" showInputMessage="1" showErrorMessage="1" sqref="C2:C10000" xr:uid="{7BCBF1AF-4504-4111-AD0F-C4782E89069F}">
      <mc:AlternateContent xmlns:x12ac="http://schemas.microsoft.com/office/spreadsheetml/2011/1/ac" xmlns:mc="http://schemas.openxmlformats.org/markup-compatibility/2006">
        <mc:Choice Requires="x12ac">
          <x12ac:list>"Individual,Institutional"</x12ac:list>
        </mc:Choice>
        <mc:Fallback>
          <formula1>"Individual,Institutional"</formula1>
        </mc:Fallback>
      </mc:AlternateContent>
    </dataValidation>
    <dataValidation type="list" allowBlank="1" showInputMessage="1" showErrorMessage="1" sqref="H2:H10000" xr:uid="{CD61774E-2C9D-43F1-875F-B7150B02AFAB}">
      <mc:AlternateContent xmlns:x12ac="http://schemas.microsoft.com/office/spreadsheetml/2011/1/ac" xmlns:mc="http://schemas.openxmlformats.org/markup-compatibility/2006">
        <mc:Choice Requires="x12ac">
          <x12ac:list>"Conservative,Moderate,Balanced,Aggressive"</x12ac:list>
        </mc:Choice>
        <mc:Fallback>
          <formula1>"Conservative,Moderate,Balanced,Aggressive"</formula1>
        </mc:Fallback>
      </mc:AlternateContent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0066-8F7E-444C-A7A2-EDC2E767CF9B}">
  <sheetPr>
    <tabColor rgb="FF006100"/>
  </sheetPr>
  <dimension ref="A1:N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24.7109375" customWidth="1"/>
    <col min="3" max="3" width="16.7109375" customWidth="1"/>
    <col min="4" max="4" width="18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22.7109375" customWidth="1"/>
    <col min="10" max="10" width="24.7109375" customWidth="1"/>
    <col min="11" max="12" width="12.7109375" customWidth="1"/>
    <col min="13" max="13" width="18.7109375" customWidth="1"/>
    <col min="14" max="14" width="10.7109375" customWidth="1"/>
  </cols>
  <sheetData>
    <row r="1" spans="1:14" ht="42" customHeight="1" x14ac:dyDescent="0.25">
      <c r="A1" s="6" t="s">
        <v>0</v>
      </c>
      <c r="B1" s="6" t="s">
        <v>1</v>
      </c>
      <c r="C1" s="6" t="s">
        <v>2</v>
      </c>
      <c r="D1" s="6" t="s">
        <v>10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8</v>
      </c>
      <c r="M1" s="6" t="s">
        <v>18</v>
      </c>
      <c r="N1" s="6" t="s">
        <v>20</v>
      </c>
    </row>
    <row r="2" spans="1:14" x14ac:dyDescent="0.25">
      <c r="A2" s="2" t="s">
        <v>21</v>
      </c>
      <c r="B2" s="2" t="s">
        <v>22</v>
      </c>
      <c r="C2" s="2" t="s">
        <v>23</v>
      </c>
      <c r="D2" s="2" t="s">
        <v>29</v>
      </c>
      <c r="E2" s="7">
        <v>5000</v>
      </c>
      <c r="F2" s="7">
        <v>100</v>
      </c>
      <c r="G2" s="7">
        <v>500000</v>
      </c>
      <c r="H2" s="7">
        <v>100</v>
      </c>
      <c r="I2" s="8">
        <f>E2*H2</f>
        <v>500000</v>
      </c>
      <c r="J2" s="8">
        <f>I2-G2</f>
        <v>0</v>
      </c>
      <c r="K2" s="9">
        <f>IF(G2=0,0,J2/G2)</f>
        <v>0</v>
      </c>
      <c r="L2" s="2" t="s">
        <v>28</v>
      </c>
      <c r="M2" s="2" t="s">
        <v>34</v>
      </c>
      <c r="N2" s="2" t="s">
        <v>35</v>
      </c>
    </row>
    <row r="3" spans="1:14" x14ac:dyDescent="0.25">
      <c r="A3" s="4" t="s">
        <v>36</v>
      </c>
      <c r="B3" s="4" t="s">
        <v>37</v>
      </c>
      <c r="C3" s="4" t="s">
        <v>38</v>
      </c>
      <c r="D3" s="4" t="s">
        <v>41</v>
      </c>
      <c r="E3" s="10">
        <v>10000000</v>
      </c>
      <c r="F3" s="10">
        <v>100</v>
      </c>
      <c r="G3" s="10">
        <v>1000000000</v>
      </c>
      <c r="H3" s="10">
        <v>100</v>
      </c>
      <c r="I3" s="11">
        <f>E3*H3</f>
        <v>1000000000</v>
      </c>
      <c r="J3" s="11">
        <f>I3-G3</f>
        <v>0</v>
      </c>
      <c r="K3" s="12">
        <f>IF(G3=0,0,J3/G3)</f>
        <v>0</v>
      </c>
      <c r="L3" s="4" t="s">
        <v>28</v>
      </c>
      <c r="M3" s="4" t="s">
        <v>34</v>
      </c>
      <c r="N3" s="4" t="s">
        <v>35</v>
      </c>
    </row>
    <row r="5" spans="1:14" x14ac:dyDescent="0.25">
      <c r="A5" s="1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478B-31B7-4A96-A67D-2FA264C5B03D}">
  <sheetPr>
    <tabColor rgb="FF00467F"/>
  </sheetPr>
  <dimension ref="A1:N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24.7109375" customWidth="1"/>
    <col min="3" max="3" width="16.7109375" customWidth="1"/>
    <col min="4" max="4" width="18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22.7109375" customWidth="1"/>
    <col min="10" max="10" width="24.7109375" customWidth="1"/>
    <col min="11" max="12" width="12.7109375" customWidth="1"/>
    <col min="13" max="13" width="18.7109375" customWidth="1"/>
    <col min="14" max="14" width="10.7109375" customWidth="1"/>
  </cols>
  <sheetData>
    <row r="1" spans="1:14" ht="42" customHeight="1" x14ac:dyDescent="0.25">
      <c r="A1" s="14" t="s">
        <v>0</v>
      </c>
      <c r="B1" s="14" t="s">
        <v>1</v>
      </c>
      <c r="C1" s="14" t="s">
        <v>2</v>
      </c>
      <c r="D1" s="14" t="s">
        <v>10</v>
      </c>
      <c r="E1" s="14" t="s">
        <v>66</v>
      </c>
      <c r="F1" s="14" t="s">
        <v>59</v>
      </c>
      <c r="G1" s="14" t="s">
        <v>60</v>
      </c>
      <c r="H1" s="14" t="s">
        <v>61</v>
      </c>
      <c r="I1" s="14" t="s">
        <v>62</v>
      </c>
      <c r="J1" s="14" t="s">
        <v>63</v>
      </c>
      <c r="K1" s="14" t="s">
        <v>64</v>
      </c>
      <c r="L1" s="14" t="s">
        <v>8</v>
      </c>
      <c r="M1" s="14" t="s">
        <v>18</v>
      </c>
      <c r="N1" s="14" t="s">
        <v>20</v>
      </c>
    </row>
    <row r="2" spans="1:14" x14ac:dyDescent="0.25">
      <c r="A2" s="2" t="s">
        <v>21</v>
      </c>
      <c r="B2" s="2" t="s">
        <v>22</v>
      </c>
      <c r="C2" s="2" t="s">
        <v>23</v>
      </c>
      <c r="D2" s="2" t="s">
        <v>29</v>
      </c>
      <c r="E2" s="7">
        <v>10</v>
      </c>
      <c r="F2" s="7">
        <v>1000000</v>
      </c>
      <c r="G2" s="7">
        <v>10000000</v>
      </c>
      <c r="H2" s="7">
        <v>1000000</v>
      </c>
      <c r="I2" s="8">
        <f>E2*H2</f>
        <v>10000000</v>
      </c>
      <c r="J2" s="8">
        <f>I2-G2</f>
        <v>0</v>
      </c>
      <c r="K2" s="9">
        <f>IF(G2=0,0,J2/G2)</f>
        <v>0</v>
      </c>
      <c r="L2" s="2" t="s">
        <v>28</v>
      </c>
      <c r="M2" s="2" t="s">
        <v>34</v>
      </c>
      <c r="N2" s="2" t="s">
        <v>35</v>
      </c>
    </row>
    <row r="3" spans="1:14" x14ac:dyDescent="0.25">
      <c r="A3" s="4" t="s">
        <v>36</v>
      </c>
      <c r="B3" s="4" t="s">
        <v>37</v>
      </c>
      <c r="C3" s="4" t="s">
        <v>38</v>
      </c>
      <c r="D3" s="4" t="s">
        <v>41</v>
      </c>
      <c r="E3" s="10">
        <v>500</v>
      </c>
      <c r="F3" s="10">
        <v>1000000</v>
      </c>
      <c r="G3" s="10">
        <v>500000000</v>
      </c>
      <c r="H3" s="10">
        <v>1000000</v>
      </c>
      <c r="I3" s="11">
        <f>E3*H3</f>
        <v>500000000</v>
      </c>
      <c r="J3" s="11">
        <f>I3-G3</f>
        <v>0</v>
      </c>
      <c r="K3" s="12">
        <f>IF(G3=0,0,J3/G3)</f>
        <v>0</v>
      </c>
      <c r="L3" s="4" t="s">
        <v>28</v>
      </c>
      <c r="M3" s="4" t="s">
        <v>34</v>
      </c>
      <c r="N3" s="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6DF8-7443-4514-A957-392B46F86AAB}">
  <sheetPr>
    <tabColor rgb="FF4682B4"/>
  </sheetPr>
  <dimension ref="A1:E9"/>
  <sheetViews>
    <sheetView workbookViewId="0"/>
  </sheetViews>
  <sheetFormatPr defaultRowHeight="15" x14ac:dyDescent="0.25"/>
  <cols>
    <col min="1" max="1" width="28.7109375" customWidth="1"/>
    <col min="2" max="2" width="70.7109375" customWidth="1"/>
  </cols>
  <sheetData>
    <row r="1" spans="1:5" ht="27.95" customHeight="1" x14ac:dyDescent="0.25">
      <c r="A1" s="18" t="s">
        <v>67</v>
      </c>
      <c r="B1" s="19"/>
      <c r="C1" s="19"/>
      <c r="D1" s="19"/>
      <c r="E1" s="19"/>
    </row>
    <row r="3" spans="1:5" ht="36" customHeight="1" x14ac:dyDescent="0.25">
      <c r="A3" s="15" t="s">
        <v>68</v>
      </c>
      <c r="B3" s="16" t="s">
        <v>69</v>
      </c>
      <c r="C3" s="17"/>
      <c r="D3" s="17"/>
      <c r="E3" s="17"/>
    </row>
    <row r="4" spans="1:5" ht="36" customHeight="1" x14ac:dyDescent="0.25">
      <c r="A4" s="15" t="s">
        <v>70</v>
      </c>
      <c r="B4" s="16" t="s">
        <v>71</v>
      </c>
      <c r="C4" s="17"/>
      <c r="D4" s="17"/>
      <c r="E4" s="17"/>
    </row>
    <row r="5" spans="1:5" ht="36" customHeight="1" x14ac:dyDescent="0.25">
      <c r="A5" s="15" t="s">
        <v>72</v>
      </c>
      <c r="B5" s="16" t="s">
        <v>73</v>
      </c>
      <c r="C5" s="17"/>
      <c r="D5" s="17"/>
      <c r="E5" s="17"/>
    </row>
    <row r="6" spans="1:5" ht="36" customHeight="1" x14ac:dyDescent="0.25">
      <c r="A6" s="15" t="s">
        <v>74</v>
      </c>
      <c r="B6" s="16" t="s">
        <v>75</v>
      </c>
      <c r="C6" s="17"/>
      <c r="D6" s="17"/>
      <c r="E6" s="17"/>
    </row>
    <row r="7" spans="1:5" ht="36" customHeight="1" x14ac:dyDescent="0.25">
      <c r="A7" s="15" t="s">
        <v>76</v>
      </c>
      <c r="B7" s="16" t="s">
        <v>77</v>
      </c>
      <c r="C7" s="17"/>
      <c r="D7" s="17"/>
      <c r="E7" s="17"/>
    </row>
    <row r="8" spans="1:5" ht="36" customHeight="1" x14ac:dyDescent="0.25">
      <c r="A8" s="15" t="s">
        <v>78</v>
      </c>
      <c r="B8" s="16" t="s">
        <v>79</v>
      </c>
      <c r="C8" s="17"/>
      <c r="D8" s="17"/>
      <c r="E8" s="17"/>
    </row>
    <row r="9" spans="1:5" ht="36" customHeight="1" x14ac:dyDescent="0.25">
      <c r="A9" s="15" t="s">
        <v>80</v>
      </c>
      <c r="B9" s="16" t="s">
        <v>81</v>
      </c>
      <c r="C9" s="17"/>
      <c r="D9" s="17"/>
      <c r="E9" s="17"/>
    </row>
  </sheetData>
  <mergeCells count="8">
    <mergeCell ref="B8:E8"/>
    <mergeCell ref="B9:E9"/>
    <mergeCell ref="A1:E1"/>
    <mergeCell ref="B3:E3"/>
    <mergeCell ref="B4:E4"/>
    <mergeCell ref="B5:E5"/>
    <mergeCell ref="B6:E6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Master</vt:lpstr>
      <vt:lpstr>SGF Clients</vt:lpstr>
      <vt:lpstr>USF Clients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Tsendsuren</dc:creator>
  <cp:lastModifiedBy>DULGUUN Tsendsuren</cp:lastModifiedBy>
  <dcterms:created xsi:type="dcterms:W3CDTF">2026-05-18T02:11:38Z</dcterms:created>
  <dcterms:modified xsi:type="dcterms:W3CDTF">2026-05-18T02:18:01Z</dcterms:modified>
</cp:coreProperties>
</file>