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guun\GAM apps\"/>
    </mc:Choice>
  </mc:AlternateContent>
  <xr:revisionPtr revIDLastSave="0" documentId="8_{66423BC4-FD6C-45D1-BA57-F6F4B272A6CB}" xr6:coauthVersionLast="47" xr6:coauthVersionMax="47" xr10:uidLastSave="{00000000-0000-0000-0000-000000000000}"/>
  <bookViews>
    <workbookView xWindow="-120" yWindow="-120" windowWidth="29040" windowHeight="15720" xr2:uid="{5C908971-A5C2-4D3D-8AEA-AF7BAFC513CD}"/>
  </bookViews>
  <sheets>
    <sheet name="NAV Dashboard" sheetId="4" r:id="rId1"/>
    <sheet name="SGF NAV Calc" sheetId="3" r:id="rId2"/>
    <sheet name="USF NAV Calc" sheetId="2" r:id="rId3"/>
    <sheet name="Assumption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4" l="1"/>
  <c r="E8" i="4"/>
  <c r="E7" i="4"/>
  <c r="E6" i="4"/>
  <c r="E5" i="4"/>
  <c r="B9" i="4"/>
  <c r="B8" i="4"/>
  <c r="B7" i="4"/>
  <c r="B6" i="4"/>
  <c r="B5" i="4"/>
  <c r="B2" i="4"/>
  <c r="B25" i="2"/>
  <c r="B24" i="2"/>
  <c r="B23" i="2"/>
  <c r="B22" i="2"/>
  <c r="B21" i="2"/>
  <c r="B18" i="2"/>
  <c r="B11" i="2"/>
  <c r="B2" i="2"/>
  <c r="C22" i="3"/>
  <c r="B27" i="3"/>
  <c r="B26" i="3"/>
  <c r="B24" i="3"/>
  <c r="B23" i="3"/>
  <c r="B22" i="3"/>
  <c r="B19" i="3"/>
  <c r="B12" i="3"/>
  <c r="B2" i="3"/>
</calcChain>
</file>

<file path=xl/sharedStrings.xml><?xml version="1.0" encoding="utf-8"?>
<sst xmlns="http://schemas.openxmlformats.org/spreadsheetml/2006/main" count="94" uniqueCount="57">
  <si>
    <t>FUND ASSUMPTIONS (Link to SGF_URF_Fund_Config.xlsx for live data)</t>
  </si>
  <si>
    <t>Parameter</t>
  </si>
  <si>
    <t>SGF</t>
  </si>
  <si>
    <t>USF</t>
  </si>
  <si>
    <t>Notes</t>
  </si>
  <si>
    <t>Fund Name</t>
  </si>
  <si>
    <t>Stable Growth Fund</t>
  </si>
  <si>
    <t>Urban Sky Fund</t>
  </si>
  <si>
    <t>Unit Price (MNT)</t>
  </si>
  <si>
    <t>Per unit face value</t>
  </si>
  <si>
    <t>Outstanding Units</t>
  </si>
  <si>
    <t>Update after each subscription/redemption</t>
  </si>
  <si>
    <t>FRC Raise Limit (MNT)</t>
  </si>
  <si>
    <t>Authorized maximum</t>
  </si>
  <si>
    <t>Management Fee (%/yr)</t>
  </si>
  <si>
    <t>Annual management fee rate</t>
  </si>
  <si>
    <t>Performance Fee (%)</t>
  </si>
  <si>
    <t>20% of gains above high-water mark</t>
  </si>
  <si>
    <t>Valuation Frequency</t>
  </si>
  <si>
    <t>Daily</t>
  </si>
  <si>
    <t>Monthly</t>
  </si>
  <si>
    <t>Base Currency</t>
  </si>
  <si>
    <t>MNT</t>
  </si>
  <si>
    <t>STABLE GROWTH FUND - NAV CALCULATION</t>
  </si>
  <si>
    <t>Valuation Date:</t>
  </si>
  <si>
    <t>TOTAL ASSETS</t>
  </si>
  <si>
    <t>Listed Equities (Market Value)</t>
  </si>
  <si>
    <t>Government Bonds (Market Value)</t>
  </si>
  <si>
    <t>Corporate Bonds (Market Value)</t>
  </si>
  <si>
    <t>ETF / Fund Units (Market Value)</t>
  </si>
  <si>
    <t>Cash &amp; Cash Equivalents</t>
  </si>
  <si>
    <t>Accrued Income</t>
  </si>
  <si>
    <t>Other Assets</t>
  </si>
  <si>
    <t>GROSS TOTAL ASSETS</t>
  </si>
  <si>
    <t>TOTAL LIABILITIES</t>
  </si>
  <si>
    <t>Management Fee Payable</t>
  </si>
  <si>
    <t>Performance Fee Payable</t>
  </si>
  <si>
    <t>Redemptions Payable</t>
  </si>
  <si>
    <t>Other Payables</t>
  </si>
  <si>
    <t>NET ASSET VALUE (NAV)</t>
  </si>
  <si>
    <t>Total Net Assets (MNT)</t>
  </si>
  <si>
    <t>NAV per Unit (MNT)</t>
  </si>
  <si>
    <t>Total Subscriptions YTD (MNT)</t>
  </si>
  <si>
    <t>FRC Utilization %</t>
  </si>
  <si>
    <t>Source: Portfolio_Holdings.xlsx &gt; SGF Holdings</t>
  </si>
  <si>
    <t>KEY OUTPUT - update to client statements</t>
  </si>
  <si>
    <t>Must be &lt;= 100%. Flag if approaching limit.</t>
  </si>
  <si>
    <t>URBAN SKY FUND - NAV CALCULATION</t>
  </si>
  <si>
    <t>Real Estate Projects (Appraised Value)</t>
  </si>
  <si>
    <t>SPV Preferred Shares (Fair Value)</t>
  </si>
  <si>
    <t>Project Bonds (Amortised Cost)</t>
  </si>
  <si>
    <t>Source: Portfolio_Holdings.xlsx &gt; USF Holdings (appraisal / audited values)</t>
  </si>
  <si>
    <t>GAM FUNDS - NAV DASHBOARD</t>
  </si>
  <si>
    <t>Report Date:</t>
  </si>
  <si>
    <t>STABLE GROWTH FUND (SGF)</t>
  </si>
  <si>
    <t>URBAN SKY FUND (USF)</t>
  </si>
  <si>
    <t>Green values = cross-sheet links from NAV Calc tabs. Update asset values in SGF NAV Calc / USF NAV Calc tabs, then this dashboard refreshes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</si>
</sst>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5" x14ac:knownFonts="1">
    <font>
      <sz val="11"/>
      <color theme="1"/>
      <name val="Calibri"/>
      <family val="2"/>
      <charset val="1"/>
      <scheme val="minor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3"/>
      <color rgb="FFFFFFFF"/>
      <name val="Arial"/>
      <family val="2"/>
    </font>
    <font>
      <b/>
      <sz val="12"/>
      <color rgb="FF000000"/>
      <name val="Arial"/>
      <family val="2"/>
    </font>
    <font>
      <i/>
      <sz val="9"/>
      <color theme="1"/>
      <name val="Arial"/>
      <family val="2"/>
    </font>
    <font>
      <b/>
      <sz val="9"/>
      <color rgb="FF9C0006"/>
      <name val="Arial"/>
      <family val="2"/>
    </font>
    <font>
      <b/>
      <sz val="14"/>
      <color rgb="FFFFFFFF"/>
      <name val="Arial"/>
      <family val="2"/>
    </font>
    <font>
      <b/>
      <sz val="11"/>
      <color rgb="FF008000"/>
      <name val="Arial"/>
      <family val="2"/>
    </font>
    <font>
      <i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61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467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4" fillId="3" borderId="1" xfId="0" applyFont="1" applyFill="1" applyBorder="1"/>
    <xf numFmtId="3" fontId="5" fillId="3" borderId="1" xfId="0" applyNumberFormat="1" applyFont="1" applyFill="1" applyBorder="1"/>
    <xf numFmtId="0" fontId="7" fillId="3" borderId="1" xfId="0" applyFont="1" applyFill="1" applyBorder="1"/>
    <xf numFmtId="3" fontId="5" fillId="0" borderId="1" xfId="0" applyNumberFormat="1" applyFont="1" applyBorder="1"/>
    <xf numFmtId="164" fontId="5" fillId="3" borderId="1" xfId="0" applyNumberFormat="1" applyFont="1" applyFill="1" applyBorder="1"/>
    <xf numFmtId="164" fontId="5" fillId="0" borderId="1" xfId="0" applyNumberFormat="1" applyFont="1" applyBorder="1"/>
    <xf numFmtId="0" fontId="5" fillId="3" borderId="1" xfId="0" applyFont="1" applyFill="1" applyBorder="1"/>
    <xf numFmtId="0" fontId="8" fillId="4" borderId="0" xfId="0" applyFont="1" applyFill="1" applyAlignment="1">
      <alignment horizontal="center" vertical="center"/>
    </xf>
    <xf numFmtId="165" fontId="7" fillId="0" borderId="0" xfId="0" applyNumberFormat="1" applyFont="1"/>
    <xf numFmtId="0" fontId="3" fillId="3" borderId="1" xfId="0" applyFont="1" applyFill="1" applyBorder="1"/>
    <xf numFmtId="0" fontId="6" fillId="3" borderId="1" xfId="0" applyFont="1" applyFill="1" applyBorder="1"/>
    <xf numFmtId="0" fontId="3" fillId="0" borderId="1" xfId="0" applyFont="1" applyBorder="1"/>
    <xf numFmtId="3" fontId="4" fillId="5" borderId="1" xfId="0" applyNumberFormat="1" applyFont="1" applyFill="1" applyBorder="1"/>
    <xf numFmtId="0" fontId="0" fillId="0" borderId="1" xfId="0" applyBorder="1"/>
    <xf numFmtId="0" fontId="2" fillId="2" borderId="1" xfId="0" applyFont="1" applyFill="1" applyBorder="1"/>
    <xf numFmtId="0" fontId="4" fillId="6" borderId="1" xfId="0" applyFont="1" applyFill="1" applyBorder="1"/>
    <xf numFmtId="3" fontId="7" fillId="6" borderId="1" xfId="0" applyNumberFormat="1" applyFont="1" applyFill="1" applyBorder="1"/>
    <xf numFmtId="3" fontId="9" fillId="6" borderId="1" xfId="0" applyNumberFormat="1" applyFont="1" applyFill="1" applyBorder="1"/>
    <xf numFmtId="3" fontId="0" fillId="6" borderId="1" xfId="0" applyNumberFormat="1" applyFill="1" applyBorder="1"/>
    <xf numFmtId="164" fontId="7" fillId="6" borderId="1" xfId="0" applyNumberFormat="1" applyFont="1" applyFill="1" applyBorder="1"/>
    <xf numFmtId="0" fontId="10" fillId="0" borderId="0" xfId="0" applyFont="1"/>
    <xf numFmtId="0" fontId="11" fillId="0" borderId="0" xfId="0" applyFont="1"/>
    <xf numFmtId="0" fontId="8" fillId="7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3" fillId="3" borderId="1" xfId="0" applyNumberFormat="1" applyFont="1" applyFill="1" applyBorder="1"/>
    <xf numFmtId="0" fontId="0" fillId="3" borderId="1" xfId="0" applyFill="1" applyBorder="1"/>
    <xf numFmtId="3" fontId="13" fillId="0" borderId="1" xfId="0" applyNumberFormat="1" applyFont="1" applyBorder="1"/>
    <xf numFmtId="164" fontId="13" fillId="0" borderId="1" xfId="0" applyNumberFormat="1" applyFont="1" applyBorder="1"/>
    <xf numFmtId="0" fontId="2" fillId="7" borderId="1" xfId="0" applyFont="1" applyFill="1" applyBorder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0934-67E4-4C1D-9B76-31B9C4D0BC9D}">
  <sheetPr>
    <tabColor rgb="FF1F497D"/>
  </sheetPr>
  <dimension ref="A1:F11"/>
  <sheetViews>
    <sheetView tabSelected="1" workbookViewId="0"/>
  </sheetViews>
  <sheetFormatPr defaultRowHeight="15" x14ac:dyDescent="0.25"/>
  <cols>
    <col min="1" max="1" width="28.7109375" customWidth="1"/>
    <col min="2" max="2" width="22.7109375" customWidth="1"/>
    <col min="3" max="3" width="2.7109375" customWidth="1"/>
    <col min="4" max="4" width="28.7109375" customWidth="1"/>
    <col min="5" max="5" width="22.7109375" customWidth="1"/>
    <col min="6" max="6" width="2.7109375" customWidth="1"/>
  </cols>
  <sheetData>
    <row r="1" spans="1:6" ht="36" customHeight="1" x14ac:dyDescent="0.25">
      <c r="A1" s="31" t="s">
        <v>52</v>
      </c>
      <c r="B1" s="2"/>
      <c r="C1" s="2"/>
      <c r="D1" s="2"/>
      <c r="E1" s="2"/>
      <c r="F1" s="2"/>
    </row>
    <row r="2" spans="1:6" x14ac:dyDescent="0.25">
      <c r="A2" s="3" t="s">
        <v>53</v>
      </c>
      <c r="B2" s="16">
        <f ca="1">TODAY()</f>
        <v>46160</v>
      </c>
    </row>
    <row r="4" spans="1:6" ht="26.1" customHeight="1" x14ac:dyDescent="0.25">
      <c r="A4" s="32" t="s">
        <v>54</v>
      </c>
      <c r="B4" s="33"/>
      <c r="C4" s="33"/>
      <c r="D4" s="38" t="s">
        <v>55</v>
      </c>
      <c r="E4" s="33"/>
      <c r="F4" s="33"/>
    </row>
    <row r="5" spans="1:6" x14ac:dyDescent="0.25">
      <c r="A5" s="8" t="s">
        <v>41</v>
      </c>
      <c r="B5" s="34">
        <f>'SGF NAV Calc'!B24</f>
        <v>2736.000235</v>
      </c>
      <c r="C5" s="35"/>
      <c r="D5" s="8" t="s">
        <v>41</v>
      </c>
      <c r="E5" s="34">
        <f>'USF NAV Calc'!B23</f>
        <v>321333.33333333331</v>
      </c>
      <c r="F5" s="35"/>
    </row>
    <row r="6" spans="1:6" x14ac:dyDescent="0.25">
      <c r="A6" s="5" t="s">
        <v>40</v>
      </c>
      <c r="B6" s="36">
        <f>'SGF NAV Calc'!B22</f>
        <v>2736000235000</v>
      </c>
      <c r="C6" s="21"/>
      <c r="D6" s="5" t="s">
        <v>40</v>
      </c>
      <c r="E6" s="36">
        <f>'USF NAV Calc'!B21</f>
        <v>48200000000</v>
      </c>
      <c r="F6" s="21"/>
    </row>
    <row r="7" spans="1:6" x14ac:dyDescent="0.25">
      <c r="A7" s="8" t="s">
        <v>10</v>
      </c>
      <c r="B7" s="34">
        <f>'SGF NAV Calc'!B23</f>
        <v>1000000000</v>
      </c>
      <c r="C7" s="35"/>
      <c r="D7" s="8" t="s">
        <v>10</v>
      </c>
      <c r="E7" s="34">
        <f>'USF NAV Calc'!B22</f>
        <v>150000</v>
      </c>
      <c r="F7" s="35"/>
    </row>
    <row r="8" spans="1:6" x14ac:dyDescent="0.25">
      <c r="A8" s="5" t="s">
        <v>43</v>
      </c>
      <c r="B8" s="37">
        <f>'SGF NAV Calc'!B27</f>
        <v>182400015666666.69</v>
      </c>
      <c r="C8" s="21"/>
      <c r="D8" s="5" t="s">
        <v>43</v>
      </c>
      <c r="E8" s="37">
        <f>'USF NAV Calc'!B25</f>
        <v>2410000000000</v>
      </c>
      <c r="F8" s="21"/>
    </row>
    <row r="9" spans="1:6" x14ac:dyDescent="0.25">
      <c r="A9" s="8" t="s">
        <v>12</v>
      </c>
      <c r="B9" s="34">
        <f>'SGF NAV Calc'!B26</f>
        <v>1.4999999999999999E-2</v>
      </c>
      <c r="C9" s="35"/>
      <c r="D9" s="8" t="s">
        <v>12</v>
      </c>
      <c r="E9" s="34">
        <f>'USF NAV Calc'!B24</f>
        <v>0.02</v>
      </c>
      <c r="F9" s="35"/>
    </row>
    <row r="11" spans="1:6" ht="30" customHeight="1" x14ac:dyDescent="0.25">
      <c r="A11" s="39" t="s">
        <v>56</v>
      </c>
      <c r="B11" s="39"/>
      <c r="C11" s="39"/>
      <c r="D11" s="39"/>
      <c r="E11" s="39"/>
      <c r="F11" s="39"/>
    </row>
  </sheetData>
  <mergeCells count="4">
    <mergeCell ref="A1:F1"/>
    <mergeCell ref="A4:C4"/>
    <mergeCell ref="D4:F4"/>
    <mergeCell ref="A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965B-6F90-4339-A874-31A802A815AD}">
  <sheetPr>
    <tabColor rgb="FF006100"/>
  </sheetPr>
  <dimension ref="A1:D27"/>
  <sheetViews>
    <sheetView workbookViewId="0"/>
  </sheetViews>
  <sheetFormatPr defaultRowHeight="15" x14ac:dyDescent="0.25"/>
  <cols>
    <col min="1" max="1" width="34.7109375" customWidth="1"/>
    <col min="2" max="2" width="22.7109375" customWidth="1"/>
    <col min="3" max="3" width="30.7109375" customWidth="1"/>
  </cols>
  <sheetData>
    <row r="1" spans="1:4" ht="27.95" customHeight="1" x14ac:dyDescent="0.25">
      <c r="A1" s="15" t="s">
        <v>23</v>
      </c>
      <c r="B1" s="2"/>
      <c r="C1" s="2"/>
      <c r="D1" s="2"/>
    </row>
    <row r="2" spans="1:4" x14ac:dyDescent="0.25">
      <c r="A2" s="3" t="s">
        <v>24</v>
      </c>
      <c r="B2" s="16">
        <f ca="1">TODAY()</f>
        <v>46160</v>
      </c>
    </row>
    <row r="4" spans="1:4" x14ac:dyDescent="0.25">
      <c r="A4" s="17" t="s">
        <v>25</v>
      </c>
      <c r="B4" s="18" t="s">
        <v>22</v>
      </c>
    </row>
    <row r="5" spans="1:4" x14ac:dyDescent="0.25">
      <c r="A5" s="5" t="s">
        <v>26</v>
      </c>
      <c r="B5" s="11">
        <v>2130000000000</v>
      </c>
      <c r="C5" s="28" t="s">
        <v>44</v>
      </c>
    </row>
    <row r="6" spans="1:4" x14ac:dyDescent="0.25">
      <c r="A6" s="5" t="s">
        <v>27</v>
      </c>
      <c r="B6" s="11">
        <v>505000000000</v>
      </c>
    </row>
    <row r="7" spans="1:4" x14ac:dyDescent="0.25">
      <c r="A7" s="5" t="s">
        <v>28</v>
      </c>
      <c r="B7" s="11">
        <v>100500000000</v>
      </c>
    </row>
    <row r="8" spans="1:4" x14ac:dyDescent="0.25">
      <c r="A8" s="5" t="s">
        <v>29</v>
      </c>
      <c r="B8" s="11">
        <v>235000</v>
      </c>
    </row>
    <row r="9" spans="1:4" x14ac:dyDescent="0.25">
      <c r="A9" s="5" t="s">
        <v>30</v>
      </c>
      <c r="B9" s="11">
        <v>500000000</v>
      </c>
    </row>
    <row r="10" spans="1:4" x14ac:dyDescent="0.25">
      <c r="A10" s="5" t="s">
        <v>31</v>
      </c>
      <c r="B10" s="11">
        <v>0</v>
      </c>
    </row>
    <row r="11" spans="1:4" x14ac:dyDescent="0.25">
      <c r="A11" s="5" t="s">
        <v>32</v>
      </c>
      <c r="B11" s="11">
        <v>0</v>
      </c>
    </row>
    <row r="12" spans="1:4" x14ac:dyDescent="0.25">
      <c r="A12" s="19" t="s">
        <v>33</v>
      </c>
      <c r="B12" s="20">
        <f>SUM(B5:B11)</f>
        <v>2736000235000</v>
      </c>
    </row>
    <row r="13" spans="1:4" x14ac:dyDescent="0.25">
      <c r="A13" s="21"/>
      <c r="B13" s="21"/>
    </row>
    <row r="14" spans="1:4" x14ac:dyDescent="0.25">
      <c r="A14" s="17" t="s">
        <v>34</v>
      </c>
      <c r="B14" s="18" t="s">
        <v>22</v>
      </c>
    </row>
    <row r="15" spans="1:4" x14ac:dyDescent="0.25">
      <c r="A15" s="5" t="s">
        <v>35</v>
      </c>
      <c r="B15" s="11">
        <v>0</v>
      </c>
    </row>
    <row r="16" spans="1:4" x14ac:dyDescent="0.25">
      <c r="A16" s="5" t="s">
        <v>36</v>
      </c>
      <c r="B16" s="11">
        <v>0</v>
      </c>
    </row>
    <row r="17" spans="1:3" x14ac:dyDescent="0.25">
      <c r="A17" s="5" t="s">
        <v>37</v>
      </c>
      <c r="B17" s="11">
        <v>0</v>
      </c>
    </row>
    <row r="18" spans="1:3" x14ac:dyDescent="0.25">
      <c r="A18" s="5" t="s">
        <v>38</v>
      </c>
      <c r="B18" s="11">
        <v>0</v>
      </c>
    </row>
    <row r="19" spans="1:3" x14ac:dyDescent="0.25">
      <c r="A19" s="19" t="s">
        <v>34</v>
      </c>
      <c r="B19" s="20">
        <f>SUM(B15:B18)</f>
        <v>0</v>
      </c>
    </row>
    <row r="20" spans="1:3" x14ac:dyDescent="0.25">
      <c r="A20" s="21"/>
      <c r="B20" s="21"/>
    </row>
    <row r="21" spans="1:3" ht="15.75" x14ac:dyDescent="0.25">
      <c r="A21" s="22" t="s">
        <v>39</v>
      </c>
      <c r="B21" s="21"/>
    </row>
    <row r="22" spans="1:3" x14ac:dyDescent="0.25">
      <c r="A22" s="23" t="s">
        <v>40</v>
      </c>
      <c r="B22" s="24">
        <f>B12-B19</f>
        <v>2736000235000</v>
      </c>
      <c r="C22" s="28" t="e">
        <f xml:space="preserve"> Gross Assets minus Liabilities</f>
        <v>#NAME?</v>
      </c>
    </row>
    <row r="23" spans="1:3" x14ac:dyDescent="0.25">
      <c r="A23" s="23" t="s">
        <v>10</v>
      </c>
      <c r="B23" s="24">
        <f>Assumptions!B5</f>
        <v>1000000000</v>
      </c>
    </row>
    <row r="24" spans="1:3" ht="15.75" x14ac:dyDescent="0.25">
      <c r="A24" s="23" t="s">
        <v>41</v>
      </c>
      <c r="B24" s="25">
        <f>IF(B23=0,0,B22/B23)</f>
        <v>2736.000235</v>
      </c>
      <c r="C24" s="29" t="s">
        <v>45</v>
      </c>
    </row>
    <row r="25" spans="1:3" x14ac:dyDescent="0.25">
      <c r="A25" s="23" t="s">
        <v>42</v>
      </c>
      <c r="B25" s="26"/>
    </row>
    <row r="26" spans="1:3" x14ac:dyDescent="0.25">
      <c r="A26" s="23" t="s">
        <v>12</v>
      </c>
      <c r="B26" s="24">
        <f>Assumptions!B7</f>
        <v>1.4999999999999999E-2</v>
      </c>
    </row>
    <row r="27" spans="1:3" x14ac:dyDescent="0.25">
      <c r="A27" s="23" t="s">
        <v>43</v>
      </c>
      <c r="B27" s="27">
        <f>IF(B26=0,0,B22/B26)</f>
        <v>182400015666666.69</v>
      </c>
      <c r="C27" s="28" t="s">
        <v>46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5FFD-C8DE-436E-9A46-7E2A6C07ED44}">
  <sheetPr>
    <tabColor rgb="FF00467F"/>
  </sheetPr>
  <dimension ref="A1:D25"/>
  <sheetViews>
    <sheetView workbookViewId="0"/>
  </sheetViews>
  <sheetFormatPr defaultRowHeight="15" x14ac:dyDescent="0.25"/>
  <cols>
    <col min="1" max="1" width="34.7109375" customWidth="1"/>
    <col min="2" max="2" width="22.7109375" customWidth="1"/>
    <col min="3" max="3" width="30.7109375" customWidth="1"/>
  </cols>
  <sheetData>
    <row r="1" spans="1:4" ht="27.95" customHeight="1" x14ac:dyDescent="0.25">
      <c r="A1" s="30" t="s">
        <v>47</v>
      </c>
      <c r="B1" s="2"/>
      <c r="C1" s="2"/>
      <c r="D1" s="2"/>
    </row>
    <row r="2" spans="1:4" x14ac:dyDescent="0.25">
      <c r="A2" s="3" t="s">
        <v>24</v>
      </c>
      <c r="B2" s="16">
        <f ca="1">TODAY()</f>
        <v>46160</v>
      </c>
    </row>
    <row r="4" spans="1:4" x14ac:dyDescent="0.25">
      <c r="A4" s="17" t="s">
        <v>25</v>
      </c>
      <c r="B4" s="18" t="s">
        <v>22</v>
      </c>
    </row>
    <row r="5" spans="1:4" x14ac:dyDescent="0.25">
      <c r="A5" s="5" t="s">
        <v>48</v>
      </c>
      <c r="B5" s="11">
        <v>22000000000</v>
      </c>
      <c r="C5" s="28" t="s">
        <v>51</v>
      </c>
    </row>
    <row r="6" spans="1:4" x14ac:dyDescent="0.25">
      <c r="A6" s="5" t="s">
        <v>49</v>
      </c>
      <c r="B6" s="11">
        <v>15500000000</v>
      </c>
    </row>
    <row r="7" spans="1:4" x14ac:dyDescent="0.25">
      <c r="A7" s="5" t="s">
        <v>50</v>
      </c>
      <c r="B7" s="11">
        <v>10200000000</v>
      </c>
    </row>
    <row r="8" spans="1:4" x14ac:dyDescent="0.25">
      <c r="A8" s="5" t="s">
        <v>30</v>
      </c>
      <c r="B8" s="11">
        <v>500000000</v>
      </c>
    </row>
    <row r="9" spans="1:4" x14ac:dyDescent="0.25">
      <c r="A9" s="5" t="s">
        <v>31</v>
      </c>
      <c r="B9" s="11">
        <v>0</v>
      </c>
    </row>
    <row r="10" spans="1:4" x14ac:dyDescent="0.25">
      <c r="A10" s="5" t="s">
        <v>32</v>
      </c>
      <c r="B10" s="11">
        <v>0</v>
      </c>
    </row>
    <row r="11" spans="1:4" x14ac:dyDescent="0.25">
      <c r="A11" s="19" t="s">
        <v>33</v>
      </c>
      <c r="B11" s="20">
        <f>SUM(B5:B10)</f>
        <v>48200000000</v>
      </c>
    </row>
    <row r="12" spans="1:4" x14ac:dyDescent="0.25">
      <c r="A12" s="21"/>
      <c r="B12" s="21"/>
    </row>
    <row r="13" spans="1:4" x14ac:dyDescent="0.25">
      <c r="A13" s="17" t="s">
        <v>34</v>
      </c>
      <c r="B13" s="18" t="s">
        <v>22</v>
      </c>
    </row>
    <row r="14" spans="1:4" x14ac:dyDescent="0.25">
      <c r="A14" s="5" t="s">
        <v>35</v>
      </c>
      <c r="B14" s="11">
        <v>0</v>
      </c>
    </row>
    <row r="15" spans="1:4" x14ac:dyDescent="0.25">
      <c r="A15" s="5" t="s">
        <v>36</v>
      </c>
      <c r="B15" s="11">
        <v>0</v>
      </c>
    </row>
    <row r="16" spans="1:4" x14ac:dyDescent="0.25">
      <c r="A16" s="5" t="s">
        <v>37</v>
      </c>
      <c r="B16" s="11">
        <v>0</v>
      </c>
    </row>
    <row r="17" spans="1:3" x14ac:dyDescent="0.25">
      <c r="A17" s="5" t="s">
        <v>38</v>
      </c>
      <c r="B17" s="11">
        <v>0</v>
      </c>
    </row>
    <row r="18" spans="1:3" x14ac:dyDescent="0.25">
      <c r="A18" s="19" t="s">
        <v>34</v>
      </c>
      <c r="B18" s="20">
        <f>SUM(B14:B17)</f>
        <v>0</v>
      </c>
    </row>
    <row r="19" spans="1:3" x14ac:dyDescent="0.25">
      <c r="A19" s="21"/>
      <c r="B19" s="21"/>
    </row>
    <row r="20" spans="1:3" ht="15.75" x14ac:dyDescent="0.25">
      <c r="A20" s="22" t="s">
        <v>39</v>
      </c>
      <c r="B20" s="21"/>
    </row>
    <row r="21" spans="1:3" x14ac:dyDescent="0.25">
      <c r="A21" s="23" t="s">
        <v>40</v>
      </c>
      <c r="B21" s="24">
        <f>B11-B18</f>
        <v>48200000000</v>
      </c>
    </row>
    <row r="22" spans="1:3" x14ac:dyDescent="0.25">
      <c r="A22" s="23" t="s">
        <v>10</v>
      </c>
      <c r="B22" s="24">
        <f>Assumptions!C5</f>
        <v>150000</v>
      </c>
    </row>
    <row r="23" spans="1:3" ht="15.75" x14ac:dyDescent="0.25">
      <c r="A23" s="23" t="s">
        <v>41</v>
      </c>
      <c r="B23" s="25">
        <f>IF(B22=0,0,B21/B22)</f>
        <v>321333.33333333331</v>
      </c>
      <c r="C23" s="29" t="s">
        <v>45</v>
      </c>
    </row>
    <row r="24" spans="1:3" x14ac:dyDescent="0.25">
      <c r="A24" s="23" t="s">
        <v>12</v>
      </c>
      <c r="B24" s="24">
        <f>Assumptions!C7</f>
        <v>0.02</v>
      </c>
    </row>
    <row r="25" spans="1:3" x14ac:dyDescent="0.25">
      <c r="A25" s="23" t="s">
        <v>43</v>
      </c>
      <c r="B25" s="27">
        <f>IF(B24=0,0,B21/B24)</f>
        <v>2410000000000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1DF2-E0D5-418F-BF08-797DE409BBE7}">
  <sheetPr>
    <tabColor rgb="FFFFFF99"/>
  </sheetPr>
  <dimension ref="A1:D10"/>
  <sheetViews>
    <sheetView workbookViewId="0"/>
  </sheetViews>
  <sheetFormatPr defaultRowHeight="15" x14ac:dyDescent="0.25"/>
  <cols>
    <col min="1" max="1" width="28.7109375" customWidth="1"/>
    <col min="2" max="3" width="22.7109375" customWidth="1"/>
    <col min="4" max="4" width="36.7109375" customWidth="1"/>
  </cols>
  <sheetData>
    <row r="1" spans="1:4" ht="27.95" customHeight="1" x14ac:dyDescent="0.25">
      <c r="A1" s="1" t="s">
        <v>0</v>
      </c>
      <c r="B1" s="2"/>
      <c r="C1" s="2"/>
      <c r="D1" s="2"/>
    </row>
    <row r="2" spans="1:4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s="5" t="s">
        <v>5</v>
      </c>
      <c r="B3" s="6" t="s">
        <v>6</v>
      </c>
      <c r="C3" s="6" t="s">
        <v>7</v>
      </c>
      <c r="D3" s="7"/>
    </row>
    <row r="4" spans="1:4" x14ac:dyDescent="0.25">
      <c r="A4" s="8" t="s">
        <v>8</v>
      </c>
      <c r="B4" s="9">
        <v>100</v>
      </c>
      <c r="C4" s="9">
        <v>1000000</v>
      </c>
      <c r="D4" s="10" t="s">
        <v>9</v>
      </c>
    </row>
    <row r="5" spans="1:4" x14ac:dyDescent="0.25">
      <c r="A5" s="5" t="s">
        <v>10</v>
      </c>
      <c r="B5" s="11">
        <v>1000000000</v>
      </c>
      <c r="C5" s="11">
        <v>150000</v>
      </c>
      <c r="D5" s="7" t="s">
        <v>11</v>
      </c>
    </row>
    <row r="6" spans="1:4" x14ac:dyDescent="0.25">
      <c r="A6" s="8" t="s">
        <v>12</v>
      </c>
      <c r="B6" s="9">
        <v>100000000000</v>
      </c>
      <c r="C6" s="9">
        <v>150000000000</v>
      </c>
      <c r="D6" s="10" t="s">
        <v>13</v>
      </c>
    </row>
    <row r="7" spans="1:4" x14ac:dyDescent="0.25">
      <c r="A7" s="5" t="s">
        <v>14</v>
      </c>
      <c r="B7" s="11">
        <v>1.4999999999999999E-2</v>
      </c>
      <c r="C7" s="11">
        <v>0.02</v>
      </c>
      <c r="D7" s="7" t="s">
        <v>15</v>
      </c>
    </row>
    <row r="8" spans="1:4" x14ac:dyDescent="0.25">
      <c r="A8" s="8" t="s">
        <v>16</v>
      </c>
      <c r="B8" s="12">
        <v>0.2</v>
      </c>
      <c r="C8" s="12">
        <v>0.2</v>
      </c>
      <c r="D8" s="10" t="s">
        <v>17</v>
      </c>
    </row>
    <row r="9" spans="1:4" x14ac:dyDescent="0.25">
      <c r="A9" s="5" t="s">
        <v>18</v>
      </c>
      <c r="B9" s="13" t="s">
        <v>19</v>
      </c>
      <c r="C9" s="13" t="s">
        <v>20</v>
      </c>
      <c r="D9" s="7"/>
    </row>
    <row r="10" spans="1:4" x14ac:dyDescent="0.25">
      <c r="A10" s="8" t="s">
        <v>21</v>
      </c>
      <c r="B10" s="14" t="s">
        <v>22</v>
      </c>
      <c r="C10" s="14" t="s">
        <v>22</v>
      </c>
      <c r="D10" s="1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NAV Dashboard</vt:lpstr>
      <vt:lpstr>SGF NAV Calc</vt:lpstr>
      <vt:lpstr>USF NAV Calc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DULGUUN Tsendsuren</dc:creator>
  <cp:lastModifiedBy>DULGUUN Tsendsuren</cp:lastModifiedBy>
  <dcterms:created xsi:type="dcterms:W3CDTF">2026-05-18T02:11:44Z</dcterms:created>
  <dcterms:modified xsi:type="dcterms:W3CDTF">2026-05-18T02:11:46Z</dcterms:modified>
</cp:coreProperties>
</file>