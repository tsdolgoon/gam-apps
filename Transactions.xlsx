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lguun\GAM apps\"/>
    </mc:Choice>
  </mc:AlternateContent>
  <xr:revisionPtr revIDLastSave="0" documentId="13_ncr:1_{83CB245E-5297-4143-B9F1-295D9F7CCE9A}" xr6:coauthVersionLast="47" xr6:coauthVersionMax="47" xr10:uidLastSave="{00000000-0000-0000-0000-000000000000}"/>
  <bookViews>
    <workbookView xWindow="-120" yWindow="-120" windowWidth="29040" windowHeight="15720" xr2:uid="{2FF54390-1A07-4F8E-B950-D9BA765F843B}"/>
  </bookViews>
  <sheets>
    <sheet name="Transaction Log" sheetId="4" r:id="rId1"/>
    <sheet name="SGF Transactions" sheetId="3" r:id="rId2"/>
    <sheet name="USF Transactions" sheetId="2" r:id="rId3"/>
    <sheet name="Monthly Summary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6" i="4" l="1"/>
  <c r="L6" i="4"/>
  <c r="J6" i="4"/>
  <c r="M5" i="4"/>
  <c r="L5" i="4"/>
  <c r="J5" i="4"/>
  <c r="M4" i="4"/>
  <c r="L4" i="4"/>
  <c r="J4" i="4"/>
  <c r="M3" i="4"/>
  <c r="L3" i="4"/>
  <c r="J3" i="4"/>
  <c r="M2" i="4"/>
  <c r="L2" i="4"/>
  <c r="J2" i="4"/>
</calcChain>
</file>

<file path=xl/sharedStrings.xml><?xml version="1.0" encoding="utf-8"?>
<sst xmlns="http://schemas.openxmlformats.org/spreadsheetml/2006/main" count="91" uniqueCount="44">
  <si>
    <t>Txn ID</t>
  </si>
  <si>
    <t>Date</t>
  </si>
  <si>
    <t>Settlement Date</t>
  </si>
  <si>
    <t>Fund</t>
  </si>
  <si>
    <t>Client ID</t>
  </si>
  <si>
    <t>Client Name</t>
  </si>
  <si>
    <t>Type</t>
  </si>
  <si>
    <t>Units</t>
  </si>
  <si>
    <t>Unit Price (MNT)</t>
  </si>
  <si>
    <t>Gross Amount (MNT)</t>
  </si>
  <si>
    <t>Fee Rate (%)</t>
  </si>
  <si>
    <t>Fee Amount (MNT)</t>
  </si>
  <si>
    <t>Net Amount (MNT)</t>
  </si>
  <si>
    <t>Status</t>
  </si>
  <si>
    <t>Processed By</t>
  </si>
  <si>
    <t>Notes</t>
  </si>
  <si>
    <t>TXN-0001</t>
  </si>
  <si>
    <t>SGF</t>
  </si>
  <si>
    <t>CLI-001</t>
  </si>
  <si>
    <t>Bat-Erdene Gantulga</t>
  </si>
  <si>
    <t>Subscription</t>
  </si>
  <si>
    <t>Approved</t>
  </si>
  <si>
    <t>Dulguun</t>
  </si>
  <si>
    <t>TXN-0002</t>
  </si>
  <si>
    <t>USF</t>
  </si>
  <si>
    <t>CLI-002</t>
  </si>
  <si>
    <t>Tenger Capital LLC</t>
  </si>
  <si>
    <t>Initial anchor investor</t>
  </si>
  <si>
    <t>TXN-0003</t>
  </si>
  <si>
    <t>TXN-0004</t>
  </si>
  <si>
    <t>TXN-0005</t>
  </si>
  <si>
    <t>Redemption</t>
  </si>
  <si>
    <t>Partial redemption</t>
  </si>
  <si>
    <t>This tab shows SGF transactions only. Copy rows from 'Transaction Log' where Fund = SGF, or filter the Transaction Log using Excel AutoFilter.</t>
  </si>
  <si>
    <t>This tab shows USF transactions only. Copy rows from 'Transaction Log' where Fund = USF, or filter the Transaction Log using Excel AutoFilter.</t>
  </si>
  <si>
    <t>TRANSACTION SUMMARY BY MONTH</t>
  </si>
  <si>
    <t>Month</t>
  </si>
  <si>
    <t>Subscriptions (#)</t>
  </si>
  <si>
    <t>Redemptions (#)</t>
  </si>
  <si>
    <t>Subscription Units</t>
  </si>
  <si>
    <t>Redemption Units</t>
  </si>
  <si>
    <t>Net Units</t>
  </si>
  <si>
    <t>Net Inflow (MNT)</t>
  </si>
  <si>
    <t>Populate this summary monthly from the Transaction Log. Use COUNTIFS and SUMIFS formulas referencing the Transaction Log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</si>
</sst>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6" x14ac:knownFonts="1">
    <font>
      <sz val="11"/>
      <color theme="1"/>
      <name val="Calibri"/>
      <family val="2"/>
      <charset val="1"/>
      <scheme val="minor"/>
    </font>
    <font>
      <b/>
      <sz val="11"/>
      <color rgb="FFFFFFFF"/>
      <name val="Arial"/>
      <family val="2"/>
    </font>
    <font>
      <sz val="11"/>
      <color rgb="FF0000FF"/>
      <name val="Arial"/>
      <family val="2"/>
    </font>
    <font>
      <sz val="11"/>
      <color rgb="FF000000"/>
      <name val="Arial"/>
      <family val="2"/>
    </font>
    <font>
      <i/>
      <sz val="10"/>
      <color theme="1"/>
      <name val="Arial"/>
      <family val="2"/>
    </font>
    <font>
      <b/>
      <sz val="13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6100"/>
        <bgColor indexed="64"/>
      </patternFill>
    </fill>
    <fill>
      <patternFill patternType="solid">
        <fgColor rgb="FF00467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/>
    <xf numFmtId="3" fontId="2" fillId="0" borderId="1" xfId="0" applyNumberFormat="1" applyFont="1" applyBorder="1"/>
    <xf numFmtId="3" fontId="3" fillId="0" borderId="1" xfId="0" applyNumberFormat="1" applyFont="1" applyBorder="1"/>
    <xf numFmtId="10" fontId="2" fillId="0" borderId="1" xfId="0" applyNumberFormat="1" applyFont="1" applyBorder="1"/>
    <xf numFmtId="0" fontId="2" fillId="3" borderId="1" xfId="0" applyFont="1" applyFill="1" applyBorder="1"/>
    <xf numFmtId="164" fontId="2" fillId="3" borderId="1" xfId="0" applyNumberFormat="1" applyFont="1" applyFill="1" applyBorder="1"/>
    <xf numFmtId="3" fontId="2" fillId="3" borderId="1" xfId="0" applyNumberFormat="1" applyFont="1" applyFill="1" applyBorder="1"/>
    <xf numFmtId="3" fontId="3" fillId="3" borderId="1" xfId="0" applyNumberFormat="1" applyFont="1" applyFill="1" applyBorder="1"/>
    <xf numFmtId="10" fontId="2" fillId="3" borderId="1" xfId="0" applyNumberFormat="1" applyFont="1" applyFill="1" applyBorder="1"/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6E9CC-067F-4E1E-A8D8-8595005648A2}">
  <sheetPr>
    <tabColor rgb="FF1F497D"/>
  </sheetPr>
  <dimension ref="A1:P6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0.7109375" customWidth="1"/>
    <col min="2" max="2" width="12.7109375" customWidth="1"/>
    <col min="3" max="3" width="14.7109375" customWidth="1"/>
    <col min="4" max="4" width="6.7109375" customWidth="1"/>
    <col min="5" max="5" width="10.7109375" customWidth="1"/>
    <col min="6" max="6" width="24.7109375" customWidth="1"/>
    <col min="7" max="7" width="14.7109375" customWidth="1"/>
    <col min="8" max="8" width="12.7109375" customWidth="1"/>
    <col min="9" max="9" width="16.7109375" customWidth="1"/>
    <col min="10" max="10" width="20.7109375" customWidth="1"/>
    <col min="11" max="11" width="12.7109375" customWidth="1"/>
    <col min="12" max="12" width="16.7109375" customWidth="1"/>
    <col min="13" max="13" width="20.7109375" customWidth="1"/>
    <col min="14" max="14" width="12.7109375" customWidth="1"/>
    <col min="15" max="15" width="16.7109375" customWidth="1"/>
    <col min="16" max="16" width="28.7109375" customWidth="1"/>
  </cols>
  <sheetData>
    <row r="1" spans="1:16" ht="42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3" t="s">
        <v>16</v>
      </c>
      <c r="B2" s="4">
        <v>45306</v>
      </c>
      <c r="C2" s="4">
        <v>45308</v>
      </c>
      <c r="D2" s="3" t="s">
        <v>17</v>
      </c>
      <c r="E2" s="3" t="s">
        <v>18</v>
      </c>
      <c r="F2" s="3" t="s">
        <v>19</v>
      </c>
      <c r="G2" s="3" t="s">
        <v>20</v>
      </c>
      <c r="H2" s="5">
        <v>5000</v>
      </c>
      <c r="I2" s="5">
        <v>100</v>
      </c>
      <c r="J2" s="6">
        <f>H2*I2</f>
        <v>500000</v>
      </c>
      <c r="K2" s="7">
        <v>5.0000000000000001E-3</v>
      </c>
      <c r="L2" s="6">
        <f>J2*K2</f>
        <v>2500</v>
      </c>
      <c r="M2" s="6">
        <f>IF(G2="Subscription",J2-L2,J2+L2)</f>
        <v>497500</v>
      </c>
      <c r="N2" s="3" t="s">
        <v>21</v>
      </c>
      <c r="O2" s="3" t="s">
        <v>22</v>
      </c>
      <c r="P2" s="3"/>
    </row>
    <row r="3" spans="1:16" x14ac:dyDescent="0.25">
      <c r="A3" s="8" t="s">
        <v>23</v>
      </c>
      <c r="B3" s="9">
        <v>45323</v>
      </c>
      <c r="C3" s="9">
        <v>45325</v>
      </c>
      <c r="D3" s="8" t="s">
        <v>24</v>
      </c>
      <c r="E3" s="8" t="s">
        <v>25</v>
      </c>
      <c r="F3" s="8" t="s">
        <v>26</v>
      </c>
      <c r="G3" s="8" t="s">
        <v>20</v>
      </c>
      <c r="H3" s="10">
        <v>500</v>
      </c>
      <c r="I3" s="10">
        <v>1000000</v>
      </c>
      <c r="J3" s="11">
        <f>H3*I3</f>
        <v>500000000</v>
      </c>
      <c r="K3" s="12">
        <v>5.0000000000000001E-3</v>
      </c>
      <c r="L3" s="11">
        <f>J3*K3</f>
        <v>2500000</v>
      </c>
      <c r="M3" s="11">
        <f>IF(G3="Subscription",J3-L3,J3+L3)</f>
        <v>497500000</v>
      </c>
      <c r="N3" s="8" t="s">
        <v>21</v>
      </c>
      <c r="O3" s="8" t="s">
        <v>22</v>
      </c>
      <c r="P3" s="8" t="s">
        <v>27</v>
      </c>
    </row>
    <row r="4" spans="1:16" x14ac:dyDescent="0.25">
      <c r="A4" s="3" t="s">
        <v>28</v>
      </c>
      <c r="B4" s="4">
        <v>45361</v>
      </c>
      <c r="C4" s="4">
        <v>45363</v>
      </c>
      <c r="D4" s="3" t="s">
        <v>17</v>
      </c>
      <c r="E4" s="3" t="s">
        <v>18</v>
      </c>
      <c r="F4" s="3" t="s">
        <v>19</v>
      </c>
      <c r="G4" s="3" t="s">
        <v>20</v>
      </c>
      <c r="H4" s="5">
        <v>10000</v>
      </c>
      <c r="I4" s="5">
        <v>100</v>
      </c>
      <c r="J4" s="6">
        <f>H4*I4</f>
        <v>1000000</v>
      </c>
      <c r="K4" s="7">
        <v>5.0000000000000001E-3</v>
      </c>
      <c r="L4" s="6">
        <f>J4*K4</f>
        <v>5000</v>
      </c>
      <c r="M4" s="6">
        <f>IF(G4="Subscription",J4-L4,J4+L4)</f>
        <v>995000</v>
      </c>
      <c r="N4" s="3" t="s">
        <v>21</v>
      </c>
      <c r="O4" s="3" t="s">
        <v>22</v>
      </c>
      <c r="P4" s="3"/>
    </row>
    <row r="5" spans="1:16" x14ac:dyDescent="0.25">
      <c r="A5" s="8" t="s">
        <v>29</v>
      </c>
      <c r="B5" s="9">
        <v>45387</v>
      </c>
      <c r="C5" s="9">
        <v>45391</v>
      </c>
      <c r="D5" s="8" t="s">
        <v>24</v>
      </c>
      <c r="E5" s="8" t="s">
        <v>18</v>
      </c>
      <c r="F5" s="8" t="s">
        <v>19</v>
      </c>
      <c r="G5" s="8" t="s">
        <v>20</v>
      </c>
      <c r="H5" s="10">
        <v>10</v>
      </c>
      <c r="I5" s="10">
        <v>1000000</v>
      </c>
      <c r="J5" s="11">
        <f>H5*I5</f>
        <v>10000000</v>
      </c>
      <c r="K5" s="12">
        <v>5.0000000000000001E-3</v>
      </c>
      <c r="L5" s="11">
        <f>J5*K5</f>
        <v>50000</v>
      </c>
      <c r="M5" s="11">
        <f>IF(G5="Subscription",J5-L5,J5+L5)</f>
        <v>9950000</v>
      </c>
      <c r="N5" s="8" t="s">
        <v>21</v>
      </c>
      <c r="O5" s="8" t="s">
        <v>22</v>
      </c>
      <c r="P5" s="8"/>
    </row>
    <row r="6" spans="1:16" x14ac:dyDescent="0.25">
      <c r="A6" s="3" t="s">
        <v>30</v>
      </c>
      <c r="B6" s="4">
        <v>45432</v>
      </c>
      <c r="C6" s="4">
        <v>45434</v>
      </c>
      <c r="D6" s="3" t="s">
        <v>17</v>
      </c>
      <c r="E6" s="3" t="s">
        <v>18</v>
      </c>
      <c r="F6" s="3" t="s">
        <v>19</v>
      </c>
      <c r="G6" s="3" t="s">
        <v>31</v>
      </c>
      <c r="H6" s="5">
        <v>3000</v>
      </c>
      <c r="I6" s="5">
        <v>100</v>
      </c>
      <c r="J6" s="6">
        <f>H6*I6</f>
        <v>300000</v>
      </c>
      <c r="K6" s="7">
        <v>5.0000000000000001E-3</v>
      </c>
      <c r="L6" s="6">
        <f>J6*K6</f>
        <v>1500</v>
      </c>
      <c r="M6" s="6">
        <f>IF(G6="Subscription",J6-L6,J6+L6)</f>
        <v>301500</v>
      </c>
      <c r="N6" s="3" t="s">
        <v>21</v>
      </c>
      <c r="O6" s="3" t="s">
        <v>22</v>
      </c>
      <c r="P6" s="3" t="s">
        <v>32</v>
      </c>
    </row>
  </sheetData>
  <dataValidations count="3">
    <dataValidation type="list" allowBlank="1" showInputMessage="1" showErrorMessage="1" sqref="D2:D10000" xr:uid="{D98DE4BF-4A24-4ED8-BF4A-A9BD0EBCEE91}">
      <mc:AlternateContent xmlns:x12ac="http://schemas.microsoft.com/office/spreadsheetml/2011/1/ac" xmlns:mc="http://schemas.openxmlformats.org/markup-compatibility/2006">
        <mc:Choice Requires="x12ac">
          <x12ac:list>"SGF,USF"</x12ac:list>
        </mc:Choice>
        <mc:Fallback>
          <formula1>"SGF,USF"</formula1>
        </mc:Fallback>
      </mc:AlternateContent>
    </dataValidation>
    <dataValidation type="list" allowBlank="1" showInputMessage="1" showErrorMessage="1" sqref="G2:G10000" xr:uid="{CEF1BC4B-50E0-42CC-B25F-F12C1BE8DF9D}">
      <mc:AlternateContent xmlns:x12ac="http://schemas.microsoft.com/office/spreadsheetml/2011/1/ac" xmlns:mc="http://schemas.openxmlformats.org/markup-compatibility/2006">
        <mc:Choice Requires="x12ac">
          <x12ac:list>"Subscription,Redemption,Transfer In,Transfer Out"</x12ac:list>
        </mc:Choice>
        <mc:Fallback>
          <formula1>"Subscription,Redemption,Transfer In,Transfer Out"</formula1>
        </mc:Fallback>
      </mc:AlternateContent>
    </dataValidation>
    <dataValidation type="list" allowBlank="1" showInputMessage="1" showErrorMessage="1" sqref="N2:N10000" xr:uid="{93BC1D08-6B8F-4B54-92BF-912176143093}">
      <mc:AlternateContent xmlns:x12ac="http://schemas.microsoft.com/office/spreadsheetml/2011/1/ac" xmlns:mc="http://schemas.openxmlformats.org/markup-compatibility/2006">
        <mc:Choice Requires="x12ac">
          <x12ac:list>"Pending,Approved,Settled,Rejected,Cancelled"</x12ac:list>
        </mc:Choice>
        <mc:Fallback>
          <formula1>"Pending,Approved,Settled,Rejected,Cancelled"</formula1>
        </mc:Fallback>
      </mc:AlternateContent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E7AE3-0795-40E0-96FA-1A1ADC489EA0}">
  <sheetPr>
    <tabColor rgb="FF006100"/>
  </sheetPr>
  <dimension ref="A1:M3"/>
  <sheetViews>
    <sheetView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ht="42" customHeight="1" x14ac:dyDescent="0.25">
      <c r="A1" s="13" t="s">
        <v>0</v>
      </c>
      <c r="B1" s="13" t="s">
        <v>1</v>
      </c>
      <c r="C1" s="13" t="s">
        <v>2</v>
      </c>
      <c r="D1" s="13" t="s">
        <v>4</v>
      </c>
      <c r="E1" s="13" t="s">
        <v>5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11</v>
      </c>
      <c r="K1" s="13" t="s">
        <v>12</v>
      </c>
      <c r="L1" s="13" t="s">
        <v>13</v>
      </c>
      <c r="M1" s="13" t="s">
        <v>14</v>
      </c>
    </row>
    <row r="3" spans="1:13" ht="36" customHeight="1" x14ac:dyDescent="0.25">
      <c r="A3" s="15" t="s">
        <v>33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</row>
  </sheetData>
  <mergeCells count="1">
    <mergeCell ref="A3: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F896F-0984-45A1-899F-697679CE4051}">
  <sheetPr>
    <tabColor rgb="FF00467F"/>
  </sheetPr>
  <dimension ref="A1:M3"/>
  <sheetViews>
    <sheetView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ht="42" customHeight="1" x14ac:dyDescent="0.25">
      <c r="A1" s="14" t="s">
        <v>0</v>
      </c>
      <c r="B1" s="14" t="s">
        <v>1</v>
      </c>
      <c r="C1" s="14" t="s">
        <v>2</v>
      </c>
      <c r="D1" s="14" t="s">
        <v>4</v>
      </c>
      <c r="E1" s="14" t="s">
        <v>5</v>
      </c>
      <c r="F1" s="14" t="s">
        <v>6</v>
      </c>
      <c r="G1" s="14" t="s">
        <v>7</v>
      </c>
      <c r="H1" s="14" t="s">
        <v>8</v>
      </c>
      <c r="I1" s="14" t="s">
        <v>9</v>
      </c>
      <c r="J1" s="14" t="s">
        <v>11</v>
      </c>
      <c r="K1" s="14" t="s">
        <v>12</v>
      </c>
      <c r="L1" s="14" t="s">
        <v>13</v>
      </c>
      <c r="M1" s="14" t="s">
        <v>14</v>
      </c>
    </row>
    <row r="3" spans="1:13" ht="36" customHeight="1" x14ac:dyDescent="0.25">
      <c r="A3" s="15" t="s">
        <v>34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</row>
  </sheetData>
  <mergeCells count="1">
    <mergeCell ref="A3:M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ADF2C-8762-4365-A100-64B5CBBC0D00}">
  <sheetPr>
    <tabColor rgb="FF4682B4"/>
  </sheetPr>
  <dimension ref="A1:H4"/>
  <sheetViews>
    <sheetView workbookViewId="0"/>
  </sheetViews>
  <sheetFormatPr defaultRowHeight="15" x14ac:dyDescent="0.25"/>
  <cols>
    <col min="1" max="1" width="12.7109375" customWidth="1"/>
    <col min="2" max="2" width="8.7109375" customWidth="1"/>
    <col min="3" max="3" width="18.7109375" customWidth="1"/>
    <col min="4" max="4" width="16.7109375" customWidth="1"/>
    <col min="5" max="6" width="18.7109375" customWidth="1"/>
    <col min="7" max="7" width="14.7109375" customWidth="1"/>
    <col min="8" max="8" width="20.7109375" customWidth="1"/>
  </cols>
  <sheetData>
    <row r="1" spans="1:8" ht="27.95" customHeight="1" x14ac:dyDescent="0.25">
      <c r="A1" s="16" t="s">
        <v>35</v>
      </c>
      <c r="B1" s="17"/>
      <c r="C1" s="17"/>
      <c r="D1" s="17"/>
      <c r="E1" s="17"/>
      <c r="F1" s="17"/>
      <c r="G1" s="17"/>
      <c r="H1" s="17"/>
    </row>
    <row r="2" spans="1:8" x14ac:dyDescent="0.25">
      <c r="A2" s="1" t="s">
        <v>36</v>
      </c>
      <c r="B2" s="1" t="s">
        <v>3</v>
      </c>
      <c r="C2" s="1" t="s">
        <v>37</v>
      </c>
      <c r="D2" s="1" t="s">
        <v>38</v>
      </c>
      <c r="E2" s="1" t="s">
        <v>39</v>
      </c>
      <c r="F2" s="1" t="s">
        <v>40</v>
      </c>
      <c r="G2" s="1" t="s">
        <v>41</v>
      </c>
      <c r="H2" s="1" t="s">
        <v>42</v>
      </c>
    </row>
    <row r="4" spans="1:8" ht="36" customHeight="1" x14ac:dyDescent="0.25">
      <c r="A4" s="15" t="s">
        <v>43</v>
      </c>
      <c r="B4" s="15"/>
      <c r="C4" s="15"/>
      <c r="D4" s="15"/>
      <c r="E4" s="15"/>
      <c r="F4" s="15"/>
      <c r="G4" s="15"/>
      <c r="H4" s="15"/>
    </row>
  </sheetData>
  <mergeCells count="2">
    <mergeCell ref="A1:H1"/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 Log</vt:lpstr>
      <vt:lpstr>SGF Transactions</vt:lpstr>
      <vt:lpstr>USF Transactions</vt:lpstr>
      <vt:lpstr>Monthly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DULGUUN Tsendsuren</dc:creator>
  <cp:lastModifiedBy>DULGUUN Tsendsuren</cp:lastModifiedBy>
  <dcterms:created xsi:type="dcterms:W3CDTF">2026-05-18T02:11:40Z</dcterms:created>
  <dcterms:modified xsi:type="dcterms:W3CDTF">2026-05-18T02:18:15Z</dcterms:modified>
</cp:coreProperties>
</file>