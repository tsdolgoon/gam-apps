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lguun\GAM apps\"/>
    </mc:Choice>
  </mc:AlternateContent>
  <xr:revisionPtr revIDLastSave="0" documentId="8_{509A8737-FBA2-4DE6-BF40-2B7DE3844C44}" xr6:coauthVersionLast="47" xr6:coauthVersionMax="47" xr10:uidLastSave="{00000000-0000-0000-0000-000000000000}"/>
  <bookViews>
    <workbookView xWindow="-120" yWindow="-120" windowWidth="29040" windowHeight="15720" xr2:uid="{8D5E5DA3-DA4B-4868-8192-7B8A58DCD05D}"/>
  </bookViews>
  <sheets>
    <sheet name="SGF Holdings" sheetId="4" r:id="rId1"/>
    <sheet name="USF Holdings" sheetId="3" r:id="rId2"/>
    <sheet name="SGF Summary" sheetId="2" r:id="rId3"/>
    <sheet name="USF Summar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4" i="1"/>
  <c r="D3" i="1"/>
  <c r="E7" i="2"/>
  <c r="C7" i="2"/>
  <c r="C6" i="2"/>
  <c r="E6" i="2" s="1"/>
  <c r="C5" i="2"/>
  <c r="E5" i="2" s="1"/>
  <c r="C4" i="2"/>
  <c r="E4" i="2" s="1"/>
  <c r="C3" i="2"/>
  <c r="E3" i="2" s="1"/>
  <c r="H6" i="3"/>
  <c r="G6" i="3"/>
  <c r="F6" i="3"/>
  <c r="I5" i="3"/>
  <c r="H5" i="3"/>
  <c r="I4" i="3"/>
  <c r="H4" i="3"/>
  <c r="I3" i="3"/>
  <c r="H3" i="3"/>
  <c r="M8" i="4"/>
  <c r="L8" i="4"/>
  <c r="J8" i="4"/>
  <c r="N7" i="4"/>
  <c r="M7" i="4"/>
  <c r="L7" i="4"/>
  <c r="N6" i="4" s="1"/>
  <c r="J7" i="4"/>
  <c r="M6" i="4"/>
  <c r="L6" i="4"/>
  <c r="J6" i="4"/>
  <c r="N5" i="4"/>
  <c r="M5" i="4"/>
  <c r="L5" i="4"/>
  <c r="J5" i="4"/>
  <c r="N4" i="4"/>
  <c r="M4" i="4"/>
  <c r="L4" i="4"/>
  <c r="J4" i="4"/>
  <c r="N3" i="4"/>
  <c r="M3" i="4"/>
  <c r="L3" i="4"/>
  <c r="J3" i="4"/>
</calcChain>
</file>

<file path=xl/sharedStrings.xml><?xml version="1.0" encoding="utf-8"?>
<sst xmlns="http://schemas.openxmlformats.org/spreadsheetml/2006/main" count="114" uniqueCount="86">
  <si>
    <t>STABLE GROWTH FUND - PORTFOLIO HOLDINGS</t>
  </si>
  <si>
    <t>Asset ID</t>
  </si>
  <si>
    <t>Asset Name</t>
  </si>
  <si>
    <t>Asset Type</t>
  </si>
  <si>
    <t>Ticker / ISIN</t>
  </si>
  <si>
    <t>Country</t>
  </si>
  <si>
    <t>Sector / Rating</t>
  </si>
  <si>
    <t>Currency</t>
  </si>
  <si>
    <t>Quantity</t>
  </si>
  <si>
    <t>Cost Price</t>
  </si>
  <si>
    <t>Book Value (MNT)</t>
  </si>
  <si>
    <t>Current Price</t>
  </si>
  <si>
    <t>Market Value (MNT)</t>
  </si>
  <si>
    <t>Unrealized P&amp;L (MNT)</t>
  </si>
  <si>
    <t>Weight %</t>
  </si>
  <si>
    <t>Notes</t>
  </si>
  <si>
    <t>SGF-EQ-001</t>
  </si>
  <si>
    <t>Mongolian Mining Corp</t>
  </si>
  <si>
    <t>Listed Equity</t>
  </si>
  <si>
    <t>MMC</t>
  </si>
  <si>
    <t>Mongolia</t>
  </si>
  <si>
    <t>Basic Materials / -</t>
  </si>
  <si>
    <t>MNT</t>
  </si>
  <si>
    <t>SGF-EQ-002</t>
  </si>
  <si>
    <t>Trade &amp; Development Bank</t>
  </si>
  <si>
    <t>TDB</t>
  </si>
  <si>
    <t>Financials / -</t>
  </si>
  <si>
    <t>SGF-BD-001</t>
  </si>
  <si>
    <t>MNT Govt Bond 2026</t>
  </si>
  <si>
    <t>Government Bond</t>
  </si>
  <si>
    <t>MN-GOV-2026</t>
  </si>
  <si>
    <t>Government / AA</t>
  </si>
  <si>
    <t>SGF-BD-002</t>
  </si>
  <si>
    <t>Mongolian Coal Corp Bond</t>
  </si>
  <si>
    <t>Corporate Bond</t>
  </si>
  <si>
    <t>MCC-B-2025</t>
  </si>
  <si>
    <t>Energy / BBB</t>
  </si>
  <si>
    <t>SGF-ET-001</t>
  </si>
  <si>
    <t>iShares MSCI EM ETF</t>
  </si>
  <si>
    <t>ETF</t>
  </si>
  <si>
    <t>EEM</t>
  </si>
  <si>
    <t>USA</t>
  </si>
  <si>
    <t>Emerging Markets / -</t>
  </si>
  <si>
    <t>USD</t>
  </si>
  <si>
    <t>TOTAL</t>
  </si>
  <si>
    <t>URBAN SKY FUND - PORTFOLIO HOLDINGS</t>
  </si>
  <si>
    <t>Project Name</t>
  </si>
  <si>
    <t>Project Code</t>
  </si>
  <si>
    <t>Investment Amount (MNT)</t>
  </si>
  <si>
    <t>Current Valuation (MNT)</t>
  </si>
  <si>
    <t>Location</t>
  </si>
  <si>
    <t>Development Stage</t>
  </si>
  <si>
    <t>Expected Completion</t>
  </si>
  <si>
    <t>USF-RE-001</t>
  </si>
  <si>
    <t>Sky Tower Residential</t>
  </si>
  <si>
    <t>Real Estate Direct</t>
  </si>
  <si>
    <t>SKY-001</t>
  </si>
  <si>
    <t>Ulaanbaatar, Sukhbaatar</t>
  </si>
  <si>
    <t>Construction</t>
  </si>
  <si>
    <t>2026-06</t>
  </si>
  <si>
    <t>USF-SPV-001</t>
  </si>
  <si>
    <t>Green City SPV</t>
  </si>
  <si>
    <t>SPV Preferred Shares</t>
  </si>
  <si>
    <t>GCS-001</t>
  </si>
  <si>
    <t>Ulaanbaatar, Khan-Uul</t>
  </si>
  <si>
    <t>Pre-sales</t>
  </si>
  <si>
    <t>2027-03</t>
  </si>
  <si>
    <t>USF-BD-001</t>
  </si>
  <si>
    <t>Nomadic Homes Proj Bond</t>
  </si>
  <si>
    <t>Project Bond</t>
  </si>
  <si>
    <t>NH-BD-001</t>
  </si>
  <si>
    <t>Darkhan</t>
  </si>
  <si>
    <t>Planning</t>
  </si>
  <si>
    <t>2027-12</t>
  </si>
  <si>
    <t>SGF - ASSET CLASS BREAKDOWN</t>
  </si>
  <si>
    <t>Asset Class</t>
  </si>
  <si>
    <t>FRC Max Weight</t>
  </si>
  <si>
    <t>Compliance Status</t>
  </si>
  <si>
    <t>Listed Equities</t>
  </si>
  <si>
    <t>Government Bonds</t>
  </si>
  <si>
    <t>Corporate Bonds</t>
  </si>
  <si>
    <t>ETF Units</t>
  </si>
  <si>
    <t>Cash &amp; Equivalents</t>
  </si>
  <si>
    <t>USF - ASSET CLASS BREAKDOWN</t>
  </si>
  <si>
    <t>Cost Basis (MNT)</t>
  </si>
  <si>
    <t>Project Bonds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</si>
</sst>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charset val="1"/>
      <scheme val="minor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1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467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4" fillId="0" borderId="1" xfId="0" applyNumberFormat="1" applyFont="1" applyBorder="1"/>
    <xf numFmtId="10" fontId="4" fillId="0" borderId="1" xfId="0" applyNumberFormat="1" applyFont="1" applyBorder="1"/>
    <xf numFmtId="0" fontId="0" fillId="0" borderId="1" xfId="0" applyBorder="1"/>
    <xf numFmtId="0" fontId="3" fillId="3" borderId="1" xfId="0" applyFont="1" applyFill="1" applyBorder="1"/>
    <xf numFmtId="3" fontId="4" fillId="3" borderId="1" xfId="0" applyNumberFormat="1" applyFont="1" applyFill="1" applyBorder="1"/>
    <xf numFmtId="10" fontId="4" fillId="3" borderId="1" xfId="0" applyNumberFormat="1" applyFont="1" applyFill="1" applyBorder="1"/>
    <xf numFmtId="0" fontId="0" fillId="3" borderId="1" xfId="0" applyFill="1" applyBorder="1"/>
    <xf numFmtId="0" fontId="5" fillId="4" borderId="1" xfId="0" applyFont="1" applyFill="1" applyBorder="1"/>
    <xf numFmtId="0" fontId="0" fillId="4" borderId="1" xfId="0" applyFill="1" applyBorder="1"/>
    <xf numFmtId="3" fontId="6" fillId="4" borderId="1" xfId="0" applyNumberFormat="1" applyFont="1" applyFill="1" applyBorder="1"/>
    <xf numFmtId="0" fontId="2" fillId="5" borderId="0" xfId="0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/>
    <xf numFmtId="3" fontId="3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9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9" fontId="3" fillId="3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1595F-E16E-4360-8523-0696EBD58B4B}">
  <sheetPr>
    <tabColor rgb="FF006100"/>
  </sheetPr>
  <dimension ref="A1:O8"/>
  <sheetViews>
    <sheetView tabSelected="1" workbookViewId="0">
      <pane ySplit="2" topLeftCell="A3" activePane="bottomLeft" state="frozenSplit"/>
      <selection pane="bottomLeft" sqref="A1:O1"/>
    </sheetView>
  </sheetViews>
  <sheetFormatPr defaultRowHeight="15" x14ac:dyDescent="0.25"/>
  <cols>
    <col min="1" max="1" width="10.7109375" customWidth="1"/>
    <col min="2" max="2" width="26.7109375" customWidth="1"/>
    <col min="3" max="3" width="16.7109375" customWidth="1"/>
    <col min="4" max="4" width="14.7109375" customWidth="1"/>
    <col min="5" max="5" width="10.7109375" customWidth="1"/>
    <col min="6" max="6" width="16.7109375" customWidth="1"/>
    <col min="7" max="7" width="10.7109375" customWidth="1"/>
    <col min="8" max="9" width="12.7109375" customWidth="1"/>
    <col min="10" max="10" width="18.7109375" customWidth="1"/>
    <col min="11" max="11" width="12.7109375" customWidth="1"/>
    <col min="12" max="13" width="18.7109375" customWidth="1"/>
    <col min="14" max="14" width="10.7109375" customWidth="1"/>
    <col min="15" max="15" width="24.7109375" customWidth="1"/>
  </cols>
  <sheetData>
    <row r="1" spans="1:15" ht="27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42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5" x14ac:dyDescent="0.25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5">
        <v>100000</v>
      </c>
      <c r="I3" s="5">
        <v>5500</v>
      </c>
      <c r="J3" s="5">
        <f>H3*I3</f>
        <v>550000000</v>
      </c>
      <c r="K3" s="5"/>
      <c r="L3" s="5">
        <f>H3*K3</f>
        <v>0</v>
      </c>
      <c r="M3" s="5">
        <f>L3-J3</f>
        <v>-550000000</v>
      </c>
      <c r="N3" s="6" t="e">
        <f>L3/SUM(L3:L7)</f>
        <v>#DIV/0!</v>
      </c>
      <c r="O3" s="7"/>
    </row>
    <row r="4" spans="1:15" x14ac:dyDescent="0.25">
      <c r="A4" s="8" t="s">
        <v>23</v>
      </c>
      <c r="B4" s="8" t="s">
        <v>24</v>
      </c>
      <c r="C4" s="8" t="s">
        <v>18</v>
      </c>
      <c r="D4" s="8" t="s">
        <v>25</v>
      </c>
      <c r="E4" s="8" t="s">
        <v>20</v>
      </c>
      <c r="F4" s="8" t="s">
        <v>26</v>
      </c>
      <c r="G4" s="8" t="s">
        <v>22</v>
      </c>
      <c r="H4" s="9">
        <v>50000</v>
      </c>
      <c r="I4" s="9">
        <v>10200</v>
      </c>
      <c r="J4" s="9">
        <f>H4*I4</f>
        <v>510000000</v>
      </c>
      <c r="K4" s="9"/>
      <c r="L4" s="9">
        <f>H4*K4</f>
        <v>0</v>
      </c>
      <c r="M4" s="9">
        <f>L4-J4</f>
        <v>-510000000</v>
      </c>
      <c r="N4" s="10" t="e">
        <f>L4/SUM(L3:L7)</f>
        <v>#DIV/0!</v>
      </c>
      <c r="O4" s="11"/>
    </row>
    <row r="5" spans="1:15" x14ac:dyDescent="0.25">
      <c r="A5" s="4" t="s">
        <v>27</v>
      </c>
      <c r="B5" s="4" t="s">
        <v>28</v>
      </c>
      <c r="C5" s="4" t="s">
        <v>29</v>
      </c>
      <c r="D5" s="4" t="s">
        <v>30</v>
      </c>
      <c r="E5" s="4" t="s">
        <v>20</v>
      </c>
      <c r="F5" s="4" t="s">
        <v>31</v>
      </c>
      <c r="G5" s="4" t="s">
        <v>22</v>
      </c>
      <c r="H5" s="5">
        <v>500000000</v>
      </c>
      <c r="I5" s="5">
        <v>1000</v>
      </c>
      <c r="J5" s="5">
        <f>H5*I5</f>
        <v>500000000000</v>
      </c>
      <c r="K5" s="5"/>
      <c r="L5" s="5">
        <f>H5*K5</f>
        <v>0</v>
      </c>
      <c r="M5" s="5">
        <f>L5-J5</f>
        <v>-500000000000</v>
      </c>
      <c r="N5" s="6" t="e">
        <f>L5/SUM(L3:L7)</f>
        <v>#DIV/0!</v>
      </c>
      <c r="O5" s="7"/>
    </row>
    <row r="6" spans="1:15" x14ac:dyDescent="0.25">
      <c r="A6" s="8" t="s">
        <v>32</v>
      </c>
      <c r="B6" s="8" t="s">
        <v>33</v>
      </c>
      <c r="C6" s="8" t="s">
        <v>34</v>
      </c>
      <c r="D6" s="8" t="s">
        <v>35</v>
      </c>
      <c r="E6" s="8" t="s">
        <v>20</v>
      </c>
      <c r="F6" s="8" t="s">
        <v>36</v>
      </c>
      <c r="G6" s="8" t="s">
        <v>22</v>
      </c>
      <c r="H6" s="9">
        <v>100000000</v>
      </c>
      <c r="I6" s="9">
        <v>1000</v>
      </c>
      <c r="J6" s="9">
        <f>H6*I6</f>
        <v>100000000000</v>
      </c>
      <c r="K6" s="9"/>
      <c r="L6" s="9">
        <f>H6*K6</f>
        <v>0</v>
      </c>
      <c r="M6" s="9">
        <f>L6-J6</f>
        <v>-100000000000</v>
      </c>
      <c r="N6" s="10" t="e">
        <f>L6/SUM(L3:L7)</f>
        <v>#DIV/0!</v>
      </c>
      <c r="O6" s="11"/>
    </row>
    <row r="7" spans="1:15" x14ac:dyDescent="0.25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5">
        <v>5000</v>
      </c>
      <c r="I7" s="5">
        <v>45</v>
      </c>
      <c r="J7" s="5">
        <f>H7*I7</f>
        <v>225000</v>
      </c>
      <c r="K7" s="5"/>
      <c r="L7" s="5">
        <f>H7*K7</f>
        <v>0</v>
      </c>
      <c r="M7" s="5">
        <f>L7-J7</f>
        <v>-225000</v>
      </c>
      <c r="N7" s="6" t="e">
        <f>L7/SUM(L3:L7)</f>
        <v>#DIV/0!</v>
      </c>
      <c r="O7" s="7"/>
    </row>
    <row r="8" spans="1:15" x14ac:dyDescent="0.25">
      <c r="A8" s="12" t="s">
        <v>44</v>
      </c>
      <c r="B8" s="13"/>
      <c r="C8" s="13"/>
      <c r="D8" s="13"/>
      <c r="E8" s="13"/>
      <c r="F8" s="13"/>
      <c r="G8" s="13"/>
      <c r="H8" s="13"/>
      <c r="I8" s="13"/>
      <c r="J8" s="14">
        <f>SUM(J3:J7)</f>
        <v>601060225000</v>
      </c>
      <c r="K8" s="13"/>
      <c r="L8" s="14">
        <f>SUM(L3:L7)</f>
        <v>0</v>
      </c>
      <c r="M8" s="14">
        <f>SUM(M3:M7)</f>
        <v>-601060225000</v>
      </c>
      <c r="N8" s="13"/>
      <c r="O8" s="13"/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5C76-0CE5-4A9E-B83A-5A528FFF133C}">
  <sheetPr>
    <tabColor rgb="FF00467F"/>
  </sheetPr>
  <dimension ref="A1:M6"/>
  <sheetViews>
    <sheetView workbookViewId="0">
      <pane ySplit="2" topLeftCell="A3" activePane="bottomLeft" state="frozenSplit"/>
      <selection pane="bottomLeft" sqref="A1:L1"/>
    </sheetView>
  </sheetViews>
  <sheetFormatPr defaultRowHeight="15" x14ac:dyDescent="0.25"/>
  <cols>
    <col min="1" max="1" width="10.7109375" customWidth="1"/>
    <col min="2" max="2" width="28.7109375" customWidth="1"/>
    <col min="3" max="3" width="20.7109375" customWidth="1"/>
    <col min="4" max="4" width="12.7109375" customWidth="1"/>
    <col min="5" max="5" width="10.7109375" customWidth="1"/>
    <col min="6" max="7" width="22.7109375" customWidth="1"/>
    <col min="8" max="8" width="20.7109375" customWidth="1"/>
    <col min="9" max="9" width="10.7109375" customWidth="1"/>
    <col min="10" max="10" width="24.7109375" customWidth="1"/>
    <col min="11" max="12" width="18.7109375" customWidth="1"/>
    <col min="13" max="13" width="24.7109375" customWidth="1"/>
  </cols>
  <sheetData>
    <row r="1" spans="1:13" ht="27.95" customHeight="1" x14ac:dyDescent="0.25">
      <c r="A1" s="15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3" ht="42" customHeight="1" x14ac:dyDescent="0.25">
      <c r="A2" s="16" t="s">
        <v>1</v>
      </c>
      <c r="B2" s="16" t="s">
        <v>46</v>
      </c>
      <c r="C2" s="16" t="s">
        <v>3</v>
      </c>
      <c r="D2" s="16" t="s">
        <v>47</v>
      </c>
      <c r="E2" s="16" t="s">
        <v>7</v>
      </c>
      <c r="F2" s="16" t="s">
        <v>48</v>
      </c>
      <c r="G2" s="16" t="s">
        <v>49</v>
      </c>
      <c r="H2" s="16" t="s">
        <v>13</v>
      </c>
      <c r="I2" s="16" t="s">
        <v>14</v>
      </c>
      <c r="J2" s="16" t="s">
        <v>50</v>
      </c>
      <c r="K2" s="16" t="s">
        <v>51</v>
      </c>
      <c r="L2" s="16" t="s">
        <v>52</v>
      </c>
      <c r="M2" s="16" t="s">
        <v>15</v>
      </c>
    </row>
    <row r="3" spans="1:13" x14ac:dyDescent="0.25">
      <c r="A3" s="4" t="s">
        <v>53</v>
      </c>
      <c r="B3" s="4" t="s">
        <v>54</v>
      </c>
      <c r="C3" s="4" t="s">
        <v>55</v>
      </c>
      <c r="D3" s="4" t="s">
        <v>56</v>
      </c>
      <c r="E3" s="4" t="s">
        <v>22</v>
      </c>
      <c r="F3" s="17">
        <v>20000000000</v>
      </c>
      <c r="G3" s="17">
        <v>22000000000</v>
      </c>
      <c r="H3" s="5">
        <f>G3-F3</f>
        <v>2000000000</v>
      </c>
      <c r="I3" s="6">
        <f>G3/SUM(G3:G5)</f>
        <v>0.46121593291404611</v>
      </c>
      <c r="J3" s="4" t="s">
        <v>57</v>
      </c>
      <c r="K3" s="4" t="s">
        <v>58</v>
      </c>
      <c r="L3" s="4" t="s">
        <v>59</v>
      </c>
      <c r="M3" s="7"/>
    </row>
    <row r="4" spans="1:13" x14ac:dyDescent="0.25">
      <c r="A4" s="8" t="s">
        <v>60</v>
      </c>
      <c r="B4" s="8" t="s">
        <v>61</v>
      </c>
      <c r="C4" s="8" t="s">
        <v>62</v>
      </c>
      <c r="D4" s="8" t="s">
        <v>63</v>
      </c>
      <c r="E4" s="8" t="s">
        <v>22</v>
      </c>
      <c r="F4" s="18">
        <v>15000000000</v>
      </c>
      <c r="G4" s="18">
        <v>15500000000</v>
      </c>
      <c r="H4" s="9">
        <f>G4-F4</f>
        <v>500000000</v>
      </c>
      <c r="I4" s="10">
        <f>G4/SUM(G3:G5)</f>
        <v>0.3249475890985325</v>
      </c>
      <c r="J4" s="8" t="s">
        <v>64</v>
      </c>
      <c r="K4" s="8" t="s">
        <v>65</v>
      </c>
      <c r="L4" s="8" t="s">
        <v>66</v>
      </c>
      <c r="M4" s="11"/>
    </row>
    <row r="5" spans="1:13" x14ac:dyDescent="0.25">
      <c r="A5" s="4" t="s">
        <v>67</v>
      </c>
      <c r="B5" s="4" t="s">
        <v>68</v>
      </c>
      <c r="C5" s="4" t="s">
        <v>69</v>
      </c>
      <c r="D5" s="4" t="s">
        <v>70</v>
      </c>
      <c r="E5" s="4" t="s">
        <v>22</v>
      </c>
      <c r="F5" s="17">
        <v>10000000000</v>
      </c>
      <c r="G5" s="17">
        <v>10200000000</v>
      </c>
      <c r="H5" s="5">
        <f>G5-F5</f>
        <v>200000000</v>
      </c>
      <c r="I5" s="6">
        <f>G5/SUM(G3:G5)</f>
        <v>0.21383647798742139</v>
      </c>
      <c r="J5" s="4" t="s">
        <v>71</v>
      </c>
      <c r="K5" s="4" t="s">
        <v>72</v>
      </c>
      <c r="L5" s="4" t="s">
        <v>73</v>
      </c>
      <c r="M5" s="7"/>
    </row>
    <row r="6" spans="1:13" x14ac:dyDescent="0.25">
      <c r="A6" s="12" t="s">
        <v>44</v>
      </c>
      <c r="B6" s="13"/>
      <c r="C6" s="13"/>
      <c r="D6" s="13"/>
      <c r="E6" s="13"/>
      <c r="F6" s="14">
        <f>SUM(F3:F5)</f>
        <v>45000000000</v>
      </c>
      <c r="G6" s="14">
        <f>SUM(G3:G5)</f>
        <v>47700000000</v>
      </c>
      <c r="H6" s="14">
        <f>SUM(H3:H5)</f>
        <v>2700000000</v>
      </c>
      <c r="I6" s="13"/>
      <c r="J6" s="13"/>
      <c r="K6" s="13"/>
      <c r="L6" s="13"/>
      <c r="M6" s="13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80EF-08D4-4C1F-A6FA-48387175C621}">
  <sheetPr>
    <tabColor rgb="FF006100"/>
  </sheetPr>
  <dimension ref="A1:E7"/>
  <sheetViews>
    <sheetView workbookViewId="0"/>
  </sheetViews>
  <sheetFormatPr defaultRowHeight="15" x14ac:dyDescent="0.25"/>
  <cols>
    <col min="1" max="2" width="22.7109375" customWidth="1"/>
    <col min="3" max="3" width="14.7109375" customWidth="1"/>
    <col min="4" max="4" width="16.7109375" customWidth="1"/>
    <col min="5" max="5" width="18.7109375" customWidth="1"/>
  </cols>
  <sheetData>
    <row r="1" spans="1:5" ht="27.95" customHeight="1" x14ac:dyDescent="0.25">
      <c r="A1" s="1" t="s">
        <v>74</v>
      </c>
      <c r="B1" s="2"/>
      <c r="C1" s="2"/>
      <c r="D1" s="2"/>
      <c r="E1" s="2"/>
    </row>
    <row r="2" spans="1:5" x14ac:dyDescent="0.25">
      <c r="A2" s="19" t="s">
        <v>75</v>
      </c>
      <c r="B2" s="19" t="s">
        <v>12</v>
      </c>
      <c r="C2" s="19" t="s">
        <v>14</v>
      </c>
      <c r="D2" s="19" t="s">
        <v>76</v>
      </c>
      <c r="E2" s="19" t="s">
        <v>77</v>
      </c>
    </row>
    <row r="3" spans="1:5" x14ac:dyDescent="0.25">
      <c r="A3" s="20" t="s">
        <v>78</v>
      </c>
      <c r="B3" s="17">
        <v>2130000000000</v>
      </c>
      <c r="C3" s="21">
        <f>IF(SUM('SGF Holdings'!L3:L7)=0,0,B3/SUM(B3:B7))</f>
        <v>0</v>
      </c>
      <c r="D3" s="22">
        <v>0.6</v>
      </c>
      <c r="E3" s="23" t="str">
        <f>IF(C3&lt;=VALUE(LEFT(D3,LEN(D3)-1))/100,"OK","BREACH")</f>
        <v>OK</v>
      </c>
    </row>
    <row r="4" spans="1:5" x14ac:dyDescent="0.25">
      <c r="A4" s="24" t="s">
        <v>79</v>
      </c>
      <c r="B4" s="18">
        <v>505000000000</v>
      </c>
      <c r="C4" s="25">
        <f>IF(SUM('SGF Holdings'!L3:L7)=0,0,B4/SUM(B3:B7))</f>
        <v>0</v>
      </c>
      <c r="D4" s="26">
        <v>0.8</v>
      </c>
      <c r="E4" s="27" t="str">
        <f>IF(C4&lt;=VALUE(LEFT(D4,LEN(D4)-1))/100,"OK","BREACH")</f>
        <v>OK</v>
      </c>
    </row>
    <row r="5" spans="1:5" x14ac:dyDescent="0.25">
      <c r="A5" s="20" t="s">
        <v>80</v>
      </c>
      <c r="B5" s="17">
        <v>100500000000</v>
      </c>
      <c r="C5" s="21">
        <f>IF(SUM('SGF Holdings'!L3:L7)=0,0,B5/SUM(B3:B7))</f>
        <v>0</v>
      </c>
      <c r="D5" s="22">
        <v>0.4</v>
      </c>
      <c r="E5" s="23" t="str">
        <f>IF(C5&lt;=VALUE(LEFT(D5,LEN(D5)-1))/100,"OK","BREACH")</f>
        <v>OK</v>
      </c>
    </row>
    <row r="6" spans="1:5" x14ac:dyDescent="0.25">
      <c r="A6" s="24" t="s">
        <v>81</v>
      </c>
      <c r="B6" s="18">
        <v>235000</v>
      </c>
      <c r="C6" s="25">
        <f>IF(SUM('SGF Holdings'!L3:L7)=0,0,B6/SUM(B3:B7))</f>
        <v>0</v>
      </c>
      <c r="D6" s="26">
        <v>0.2</v>
      </c>
      <c r="E6" s="27" t="str">
        <f>IF(C6&lt;=VALUE(LEFT(D6,LEN(D6)-1))/100,"OK","BREACH")</f>
        <v>OK</v>
      </c>
    </row>
    <row r="7" spans="1:5" x14ac:dyDescent="0.25">
      <c r="A7" s="20" t="s">
        <v>82</v>
      </c>
      <c r="B7" s="17">
        <v>0</v>
      </c>
      <c r="C7" s="21">
        <f>IF(SUM('SGF Holdings'!L3:L7)=0,0,B7/SUM(B3:B7))</f>
        <v>0</v>
      </c>
      <c r="D7" s="22">
        <v>0.2</v>
      </c>
      <c r="E7" s="23" t="str">
        <f>IF(C7&lt;=VALUE(LEFT(D7,LEN(D7)-1))/100,"OK","BREACH")</f>
        <v>OK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5662-5D13-4E04-9D66-B10C606201D9}">
  <sheetPr>
    <tabColor rgb="FF00467F"/>
  </sheetPr>
  <dimension ref="A1:E5"/>
  <sheetViews>
    <sheetView workbookViewId="0"/>
  </sheetViews>
  <sheetFormatPr defaultRowHeight="15" x14ac:dyDescent="0.25"/>
  <cols>
    <col min="1" max="3" width="22.7109375" customWidth="1"/>
    <col min="4" max="4" width="14.7109375" customWidth="1"/>
    <col min="5" max="5" width="20.7109375" customWidth="1"/>
  </cols>
  <sheetData>
    <row r="1" spans="1:5" ht="27.95" customHeight="1" x14ac:dyDescent="0.25">
      <c r="A1" s="15" t="s">
        <v>83</v>
      </c>
      <c r="B1" s="2"/>
      <c r="C1" s="2"/>
      <c r="D1" s="2"/>
      <c r="E1" s="2"/>
    </row>
    <row r="2" spans="1:5" x14ac:dyDescent="0.25">
      <c r="A2" s="28" t="s">
        <v>3</v>
      </c>
      <c r="B2" s="28" t="s">
        <v>84</v>
      </c>
      <c r="C2" s="28" t="s">
        <v>49</v>
      </c>
      <c r="D2" s="28" t="s">
        <v>14</v>
      </c>
      <c r="E2" s="28" t="s">
        <v>51</v>
      </c>
    </row>
    <row r="3" spans="1:5" x14ac:dyDescent="0.25">
      <c r="A3" s="20" t="s">
        <v>55</v>
      </c>
      <c r="B3" s="17">
        <v>20000000000</v>
      </c>
      <c r="C3" s="17">
        <v>22000000000</v>
      </c>
      <c r="D3" s="21">
        <f>IF(SUM(C3:C5)=0,0,C3/SUM(C3:C5))</f>
        <v>0.46121593291404611</v>
      </c>
      <c r="E3" s="4" t="s">
        <v>58</v>
      </c>
    </row>
    <row r="4" spans="1:5" x14ac:dyDescent="0.25">
      <c r="A4" s="24" t="s">
        <v>62</v>
      </c>
      <c r="B4" s="18">
        <v>15000000000</v>
      </c>
      <c r="C4" s="18">
        <v>15500000000</v>
      </c>
      <c r="D4" s="25">
        <f>IF(SUM(C3:C5)=0,0,C4/SUM(C3:C5))</f>
        <v>0.3249475890985325</v>
      </c>
      <c r="E4" s="8" t="s">
        <v>65</v>
      </c>
    </row>
    <row r="5" spans="1:5" x14ac:dyDescent="0.25">
      <c r="A5" s="20" t="s">
        <v>85</v>
      </c>
      <c r="B5" s="17">
        <v>10000000000</v>
      </c>
      <c r="C5" s="17">
        <v>10200000000</v>
      </c>
      <c r="D5" s="21">
        <f>IF(SUM(C3:C5)=0,0,C5/SUM(C3:C5))</f>
        <v>0.21383647798742139</v>
      </c>
      <c r="E5" s="4" t="s">
        <v>72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SGF Holdings</vt:lpstr>
      <vt:lpstr>USF Holdings</vt:lpstr>
      <vt:lpstr>SGF Summary</vt:lpstr>
      <vt:lpstr>USF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 Tsendsuren</dc:creator>
  <cp:lastModifiedBy>DULGUUN Tsendsuren</cp:lastModifiedBy>
  <dcterms:created xsi:type="dcterms:W3CDTF">2026-05-18T02:11:41Z</dcterms:created>
  <dcterms:modified xsi:type="dcterms:W3CDTF">2026-05-18T02:11:44Z</dcterms:modified>
</cp:coreProperties>
</file>